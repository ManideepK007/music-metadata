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SoW\DA\music-datan\"/>
    </mc:Choice>
  </mc:AlternateContent>
  <xr:revisionPtr revIDLastSave="0" documentId="13_ncr:1_{518CF7F7-0055-4977-B6CE-77D7F5F0477F}" xr6:coauthVersionLast="47" xr6:coauthVersionMax="47" xr10:uidLastSave="{00000000-0000-0000-0000-000000000000}"/>
  <bookViews>
    <workbookView xWindow="-108" yWindow="-108" windowWidth="23256" windowHeight="13176" activeTab="2" xr2:uid="{00000000-000D-0000-FFFF-FFFF00000000}"/>
  </bookViews>
  <sheets>
    <sheet name="Sheet17" sheetId="18" r:id="rId1"/>
    <sheet name="Sheet1" sheetId="1" r:id="rId2"/>
    <sheet name="Sheet14" sheetId="15" r:id="rId3"/>
  </sheets>
  <definedNames>
    <definedName name="_xlcn.WorksheetConnection_MusicMetadataTHT.xlsxmusicmd1" hidden="1">musicmd[]</definedName>
    <definedName name="_xlcn.WorksheetConnection_Sheet1H2H10485761" hidden="1">Sheet1!$H$2:$H$1048576</definedName>
    <definedName name="Slicer_Genre">#N/A</definedName>
    <definedName name="Slicer_Language">#N/A</definedName>
    <definedName name="Slicer_Performance_category">#N/A</definedName>
    <definedName name="Slicer_Song_Name">#N/A</definedName>
  </definedNames>
  <calcPr calcId="191028"/>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usicmd" name="musicmd" connection="WorksheetConnection_Music-Metadata-THT.xlsx!musicmd"/>
          <x15:modelTable id="Range" name="Range" connection="WorksheetConnection_Sheet1!$H$2:$H$104857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1" l="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4" i="1"/>
  <c r="J4" i="1"/>
  <c r="J5" i="1"/>
  <c r="J6" i="1"/>
  <c r="J7" i="1"/>
  <c r="J8" i="1"/>
  <c r="J9" i="1"/>
  <c r="J10" i="1"/>
  <c r="J11" i="1"/>
  <c r="J12" i="1"/>
  <c r="J13" i="1"/>
  <c r="J15" i="1"/>
  <c r="J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3" i="18"/>
  <c r="E3" i="18"/>
  <c r="A3"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D902C0-C72D-4A33-AF2B-E9EDFB5B2B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0FCD85-4B44-4DAF-B184-52BEC04296A5}" name="WorksheetConnection_Music-Metadata-THT.xlsx!musicmd" type="102" refreshedVersion="8" minRefreshableVersion="5">
    <extLst>
      <ext xmlns:x15="http://schemas.microsoft.com/office/spreadsheetml/2010/11/main" uri="{DE250136-89BD-433C-8126-D09CA5730AF9}">
        <x15:connection id="musicmd" autoDelete="1">
          <x15:rangePr sourceName="_xlcn.WorksheetConnection_MusicMetadataTHT.xlsxmusicmd1"/>
        </x15:connection>
      </ext>
    </extLst>
  </connection>
  <connection id="3" xr16:uid="{5B6CE0FC-773B-4D23-893D-ED039FAFC389}" name="WorksheetConnection_Sheet1!$H$2:$H$1048576" type="102" refreshedVersion="8" minRefreshableVersion="5">
    <extLst>
      <ext xmlns:x15="http://schemas.microsoft.com/office/spreadsheetml/2010/11/main" uri="{DE250136-89BD-433C-8126-D09CA5730AF9}">
        <x15:connection id="Range" autoDelete="1">
          <x15:rangePr sourceName="_xlcn.WorksheetConnection_Sheet1H2H10485761"/>
        </x15:connection>
      </ext>
    </extLst>
  </connection>
</connections>
</file>

<file path=xl/sharedStrings.xml><?xml version="1.0" encoding="utf-8"?>
<sst xmlns="http://schemas.openxmlformats.org/spreadsheetml/2006/main" count="1579" uniqueCount="896">
  <si>
    <t>ID</t>
  </si>
  <si>
    <t>Song Name</t>
  </si>
  <si>
    <t>Artist Name</t>
  </si>
  <si>
    <t>Album Name</t>
  </si>
  <si>
    <t>Release Year</t>
  </si>
  <si>
    <t>Language</t>
  </si>
  <si>
    <t>Genre</t>
  </si>
  <si>
    <t>TEL001</t>
  </si>
  <si>
    <t>O Sayonara</t>
  </si>
  <si>
    <t>Sooraj Santhosh</t>
  </si>
  <si>
    <t>1 - Nenokkadine</t>
  </si>
  <si>
    <t>Telugu</t>
  </si>
  <si>
    <t>Romantic - Sad</t>
  </si>
  <si>
    <t>TEL002</t>
  </si>
  <si>
    <t>You're My Love</t>
  </si>
  <si>
    <t>Devi Sri Prasad, Piyush Kapoor</t>
  </si>
  <si>
    <t>Romantic</t>
  </si>
  <si>
    <t>TEL003</t>
  </si>
  <si>
    <t>Who Are You?</t>
  </si>
  <si>
    <t>Devi Sri Prasad</t>
  </si>
  <si>
    <t>Inspirational</t>
  </si>
  <si>
    <t>TEL004</t>
  </si>
  <si>
    <t>Aho Balu</t>
  </si>
  <si>
    <t>K.G. Ranjith, Sri Charan</t>
  </si>
  <si>
    <t>100% Love</t>
  </si>
  <si>
    <t>Youth/College vibe</t>
  </si>
  <si>
    <t>TEL005</t>
  </si>
  <si>
    <t>Infatuation</t>
  </si>
  <si>
    <t>Adnan Sami</t>
  </si>
  <si>
    <t>TEL006</t>
  </si>
  <si>
    <t>Thiru Thiru Gananadha</t>
  </si>
  <si>
    <t>Harini</t>
  </si>
  <si>
    <t>Devotional</t>
  </si>
  <si>
    <t>TEL007</t>
  </si>
  <si>
    <t>Yedhalo Oka Mounam (The Innocence of Love)</t>
  </si>
  <si>
    <t>Ajesh Ashok</t>
  </si>
  <si>
    <t>TEL008</t>
  </si>
  <si>
    <t>Kannuladha (The Kiss of Love)</t>
  </si>
  <si>
    <t>Shruti Haasan, Dhanush</t>
  </si>
  <si>
    <t>TEL009</t>
  </si>
  <si>
    <t>Po Ve Po (The Pain of Love)</t>
  </si>
  <si>
    <t>Anirudh Ravichander, Mohit Chauhan</t>
  </si>
  <si>
    <t>Sad</t>
  </si>
  <si>
    <t>TEL010</t>
  </si>
  <si>
    <t>Oo Antava Oo Oo Antava</t>
  </si>
  <si>
    <t>Indravathi Chauhan</t>
  </si>
  <si>
    <t>Pushpa - The Rise (Part - 01)</t>
  </si>
  <si>
    <t>Item, Mass</t>
  </si>
  <si>
    <t>TEL011</t>
  </si>
  <si>
    <t>Eyy Bidda Idhi Naa Adda</t>
  </si>
  <si>
    <t>Nakash Aziz</t>
  </si>
  <si>
    <t>Mass (Energy), Inspirational</t>
  </si>
  <si>
    <t>TEL012</t>
  </si>
  <si>
    <t>Daakko Daakko Meka</t>
  </si>
  <si>
    <t>Sivam</t>
  </si>
  <si>
    <t>Mass</t>
  </si>
  <si>
    <t>TEL013</t>
  </si>
  <si>
    <t>Saami Saami</t>
  </si>
  <si>
    <t>Mounika Yadav</t>
  </si>
  <si>
    <t>TEL014</t>
  </si>
  <si>
    <t>Why This Kolaveri Di? (The Soup of Love)</t>
  </si>
  <si>
    <t>Anirudh Ravichander, Dhanush</t>
  </si>
  <si>
    <t>TEL015</t>
  </si>
  <si>
    <t>Muthyala Dhaarani</t>
  </si>
  <si>
    <t>Karthik, Megha</t>
  </si>
  <si>
    <t>7th Sense</t>
  </si>
  <si>
    <t>Romantic (Love)</t>
  </si>
  <si>
    <t>TEL016</t>
  </si>
  <si>
    <t>Yellae Lama</t>
  </si>
  <si>
    <t>Karthik, Vijay Prakash, Pop Shalini, Rita Thyagarajan</t>
  </si>
  <si>
    <t>Pop</t>
  </si>
  <si>
    <t>TEL017</t>
  </si>
  <si>
    <t>Amma Amma</t>
  </si>
  <si>
    <t>S.P. Balasubrahmanyam, Shweta Mohan</t>
  </si>
  <si>
    <t>TEL018</t>
  </si>
  <si>
    <t>Nee Paata Madhuram (The Touch of Love)</t>
  </si>
  <si>
    <t>Roop Kumar Rathod, Shreya Ghoshal</t>
  </si>
  <si>
    <t>TEL019</t>
  </si>
  <si>
    <t>Kalalu Kane Kaalaalu</t>
  </si>
  <si>
    <t>Harish Raghavendra, Srimathumitha, Ustad Sultan Khan</t>
  </si>
  <si>
    <t>7/G Brundhavana Colony</t>
  </si>
  <si>
    <t>TEL020</t>
  </si>
  <si>
    <t>Kannula Baasalu</t>
  </si>
  <si>
    <t>Karthik</t>
  </si>
  <si>
    <t>TEL021</t>
  </si>
  <si>
    <t>Mem Vayasuku Vacham</t>
  </si>
  <si>
    <t>P. Unnikrishnan, Pop Shalini, Ganga</t>
  </si>
  <si>
    <t>Youth, Romantic</t>
  </si>
  <si>
    <t>TEL022</t>
  </si>
  <si>
    <t>Thalachi Thalachi (Male)</t>
  </si>
  <si>
    <t>Yuvan Shankar Raja, KK, Siva Ganesh</t>
  </si>
  <si>
    <t>TEL023</t>
  </si>
  <si>
    <t>Swathi Reddy</t>
  </si>
  <si>
    <t>Bheems Ceciroleo, Swathi Reddy UK</t>
  </si>
  <si>
    <t>(MAD)2</t>
  </si>
  <si>
    <t>Mass (Energy)</t>
  </si>
  <si>
    <t>TEL024</t>
  </si>
  <si>
    <t>Amigo</t>
  </si>
  <si>
    <t>Inno Genga</t>
  </si>
  <si>
    <t>A1 Express</t>
  </si>
  <si>
    <t>Love</t>
  </si>
  <si>
    <t>TEL025</t>
  </si>
  <si>
    <t>Single Kingulam</t>
  </si>
  <si>
    <t>Hiphop Tamizha, Rahul Sipligunj</t>
  </si>
  <si>
    <t>TEL026</t>
  </si>
  <si>
    <t>Adede Tholiprema</t>
  </si>
  <si>
    <t>Rahul Nambiar, Priya Hemesh</t>
  </si>
  <si>
    <t>Aadu Magadra Bujji</t>
  </si>
  <si>
    <t>TEL027</t>
  </si>
  <si>
    <t>Naari Naari</t>
  </si>
  <si>
    <t>Thaman S, Divya S. Menon</t>
  </si>
  <si>
    <t>Aagadu</t>
  </si>
  <si>
    <t>TEL028</t>
  </si>
  <si>
    <t>Junction Lo</t>
  </si>
  <si>
    <t>Shruti Haasan, Simha, Bheems</t>
  </si>
  <si>
    <t>TEL029</t>
  </si>
  <si>
    <t>Hoyna</t>
  </si>
  <si>
    <t>Karthik, K.S. Chithra</t>
  </si>
  <si>
    <t>Aata</t>
  </si>
  <si>
    <t>TEL030</t>
  </si>
  <si>
    <t>Ninu Choosthunte</t>
  </si>
  <si>
    <t>Siddharth Suryanarayan, Sumangali</t>
  </si>
  <si>
    <t>Romantic - Duet</t>
  </si>
  <si>
    <t>TEL031</t>
  </si>
  <si>
    <t>Malli Malli</t>
  </si>
  <si>
    <t>Hiphop Tamizha, Aditya Iyengar</t>
  </si>
  <si>
    <t>Agent</t>
  </si>
  <si>
    <t>TEL032</t>
  </si>
  <si>
    <t>Padessavae</t>
  </si>
  <si>
    <t>Karthik, M.M. Manasi</t>
  </si>
  <si>
    <t>Akhil - The Power of Jua</t>
  </si>
  <si>
    <t>TEL033</t>
  </si>
  <si>
    <t>Zara Zaraa Navvaradhe</t>
  </si>
  <si>
    <t>Anup Rubens, Mohit Chauhan, Shekhar Chandra</t>
  </si>
  <si>
    <t>TEL034</t>
  </si>
  <si>
    <t>Nennekkadunte (Energy)</t>
  </si>
  <si>
    <t>Anup Rubens, Rahul Rido, Sharanya Srinivas, K.G. Ranjith</t>
  </si>
  <si>
    <t>TEL035</t>
  </si>
  <si>
    <t>Hey Akhil</t>
  </si>
  <si>
    <t>Anup Rubens, Rahul Pandey</t>
  </si>
  <si>
    <t>TEL036</t>
  </si>
  <si>
    <t>Ammayi (Telugu)</t>
  </si>
  <si>
    <t>Raghav Chaitanya, Pritam Chakraborty, Anantha Sriram</t>
  </si>
  <si>
    <t>Animal (Telugu)</t>
  </si>
  <si>
    <t>TEL037</t>
  </si>
  <si>
    <t>Evarevaro</t>
  </si>
  <si>
    <t>Vishal Mishra</t>
  </si>
  <si>
    <t>TEL038</t>
  </si>
  <si>
    <t>Naaku Neeku Nokia</t>
  </si>
  <si>
    <t>Kunal Ganjawala, Vasundhara Das</t>
  </si>
  <si>
    <t>Aparichithudu</t>
  </si>
  <si>
    <t>TEL039</t>
  </si>
  <si>
    <t>Kondakaki</t>
  </si>
  <si>
    <t>KK, Jassie Gift, Sujatha Mohan</t>
  </si>
  <si>
    <t>Folk</t>
  </si>
  <si>
    <t>TEL040</t>
  </si>
  <si>
    <t>Pilichina Ranantava</t>
  </si>
  <si>
    <t>Karthik, Kavita Krishnamurthy</t>
  </si>
  <si>
    <t>Athadu</t>
  </si>
  <si>
    <t>TEL041</t>
  </si>
  <si>
    <t>Avunu NIzam</t>
  </si>
  <si>
    <t>KK, Sunitha Upadrashta</t>
  </si>
  <si>
    <t>TEL042</t>
  </si>
  <si>
    <t>Chandamama</t>
  </si>
  <si>
    <t>K.G. Ranjith, Mahalakshmi Iyer</t>
  </si>
  <si>
    <t>TEL043</t>
  </si>
  <si>
    <t>Amba Dari</t>
  </si>
  <si>
    <t>L.V. Revanth &amp; Sravana Bhargavi</t>
  </si>
  <si>
    <t>Badrenath</t>
  </si>
  <si>
    <t>TEL044</t>
  </si>
  <si>
    <t>Dheevara</t>
  </si>
  <si>
    <t>Ramya Behara, Deepu</t>
  </si>
  <si>
    <t>Baahubali - The Beginning</t>
  </si>
  <si>
    <t>TEL045</t>
  </si>
  <si>
    <t>Manohari</t>
  </si>
  <si>
    <t>Mohana Bhogaraju, L.V. Revanth</t>
  </si>
  <si>
    <t>TEL046</t>
  </si>
  <si>
    <t>Pacha Bottesi</t>
  </si>
  <si>
    <t>Karthik, Damini Bhatla</t>
  </si>
  <si>
    <t>TEL047</t>
  </si>
  <si>
    <t>Yaevaindho</t>
  </si>
  <si>
    <t>S.P. Balasubrahmanyam, Geetha Madhuri</t>
  </si>
  <si>
    <t>TEL048</t>
  </si>
  <si>
    <t>Kajalu Chellivaa</t>
  </si>
  <si>
    <t>Thaman S, Ravi Teja</t>
  </si>
  <si>
    <t>TEL049</t>
  </si>
  <si>
    <t>O Pilla Pilla</t>
  </si>
  <si>
    <t>David Simon, Rita Thyagarajan</t>
  </si>
  <si>
    <t>Bhai</t>
  </si>
  <si>
    <t>TEL050</t>
  </si>
  <si>
    <t>Chanti Pillala</t>
  </si>
  <si>
    <t>Vijai Bulganin, Anudeep Devarakonda, Suresh Banisetti</t>
  </si>
  <si>
    <t>Baby</t>
  </si>
  <si>
    <t>HIN001</t>
  </si>
  <si>
    <t>Har Kisi Ko</t>
  </si>
  <si>
    <t>Nikhil D'Souza</t>
  </si>
  <si>
    <t>Boss</t>
  </si>
  <si>
    <t>Hindi</t>
  </si>
  <si>
    <t>HIN002</t>
  </si>
  <si>
    <t>Party All Night</t>
  </si>
  <si>
    <t>Yo Yo Honey Singh, Sahil Kaushal &amp; Manoj Yadav</t>
  </si>
  <si>
    <t>Party</t>
  </si>
  <si>
    <t>HIN003</t>
  </si>
  <si>
    <t>Slow Motion</t>
  </si>
  <si>
    <t>Nakash Aziz, Neeti Mohan</t>
  </si>
  <si>
    <t>Bharat</t>
  </si>
  <si>
    <t>HIN004</t>
  </si>
  <si>
    <t>Lungi Dance</t>
  </si>
  <si>
    <t>Yo Yo Honey Singh &amp; Lil Golu</t>
  </si>
  <si>
    <t>Chennai Express</t>
  </si>
  <si>
    <t>HIN005</t>
  </si>
  <si>
    <t>Chura Liya</t>
  </si>
  <si>
    <t>Sachet Tandon, Parampara Tandon &amp; Irshad Kamil</t>
  </si>
  <si>
    <t>HIN006</t>
  </si>
  <si>
    <t>Sun Zara</t>
  </si>
  <si>
    <t>Devi Sri Prasad, Papon, Shreya Ghoshal</t>
  </si>
  <si>
    <t>Cirkus</t>
  </si>
  <si>
    <t>HIN007</t>
  </si>
  <si>
    <t>Tera Naam Japdi Phiran</t>
  </si>
  <si>
    <t>Shefali Alvares, Nikhil D'Souza &amp; Javed Bashir</t>
  </si>
  <si>
    <t>Cocktail</t>
  </si>
  <si>
    <t>HIN008</t>
  </si>
  <si>
    <t>Second Hand Jawaani</t>
  </si>
  <si>
    <t>Miss Pooja, Neha Kakkar &amp; Nakash Aziz</t>
  </si>
  <si>
    <t>Fun</t>
  </si>
  <si>
    <t>HIN009</t>
  </si>
  <si>
    <t>Mast Magan</t>
  </si>
  <si>
    <t>Arijit Singh, Chinmayi Sripada</t>
  </si>
  <si>
    <t>2 States</t>
  </si>
  <si>
    <t>HIN010</t>
  </si>
  <si>
    <t>Aal Izz Well</t>
  </si>
  <si>
    <t>Sonu Nigam, Swanand Kirkire &amp; Shaan</t>
  </si>
  <si>
    <t>3 Idiots</t>
  </si>
  <si>
    <t>HIN011</t>
  </si>
  <si>
    <t>Raataan Lambiyan</t>
  </si>
  <si>
    <t>Jubin Nautiyal, Asees Kaur</t>
  </si>
  <si>
    <t>Shershaah</t>
  </si>
  <si>
    <t>HIN012</t>
  </si>
  <si>
    <t>Khuda Haafiz</t>
  </si>
  <si>
    <t>Arko, Arijit Singh, Manoj Muntashir</t>
  </si>
  <si>
    <t>The Body</t>
  </si>
  <si>
    <t>HIN013</t>
  </si>
  <si>
    <t>Aaina</t>
  </si>
  <si>
    <t>Arko, Tulsi Kumar, Neha Kakkar</t>
  </si>
  <si>
    <t>HIN014</t>
  </si>
  <si>
    <t>Main Janta Hoon</t>
  </si>
  <si>
    <t>Jubin Nautiyal, Shamir Tandon, Sameer Anjaan</t>
  </si>
  <si>
    <t>HIN015</t>
  </si>
  <si>
    <t>Tere Siva Jag Mein</t>
  </si>
  <si>
    <t>Shilpa Rao, Darshan Raval, Shashwat Singh, Charan</t>
  </si>
  <si>
    <t>Tadap</t>
  </si>
  <si>
    <t>HIN016</t>
  </si>
  <si>
    <t>Tu Mera Hogaya Hai</t>
  </si>
  <si>
    <t>Jubin Nautiayal</t>
  </si>
  <si>
    <t>HIN017</t>
  </si>
  <si>
    <t>Tumse Bhi Zyada</t>
  </si>
  <si>
    <t>Arijit Singh</t>
  </si>
  <si>
    <t>HIN018</t>
  </si>
  <si>
    <t>Gallan</t>
  </si>
  <si>
    <t>Talwiinder, Nds, MC Square</t>
  </si>
  <si>
    <t>Teri Baaton Mein Aisa Uljha Jiya</t>
  </si>
  <si>
    <t>HIN019</t>
  </si>
  <si>
    <t>Akhiyaan Gulaab</t>
  </si>
  <si>
    <t>Mitraz</t>
  </si>
  <si>
    <t>HIN020</t>
  </si>
  <si>
    <t>Tum Se</t>
  </si>
  <si>
    <t>Raghav Chaitanya, Varun Jain</t>
  </si>
  <si>
    <t>HIN021</t>
  </si>
  <si>
    <t>Manike</t>
  </si>
  <si>
    <t>Yohani, Jubin Nautiyal, Surya Raghunathan, Tanishk Bagchi, Chamath Sangeeth, Rashmi Virag, Dulan ARX, Mellow D</t>
  </si>
  <si>
    <t>Thank God</t>
  </si>
  <si>
    <t>HIN022</t>
  </si>
  <si>
    <t>Tere Pyaar Mein</t>
  </si>
  <si>
    <t>Arijit Singh, Nikhita Gandhi</t>
  </si>
  <si>
    <t>Tu Jhoothi Main Makkaar</t>
  </si>
  <si>
    <t>HIN023</t>
  </si>
  <si>
    <t>Chal Maar</t>
  </si>
  <si>
    <t>Sajid-Wajid</t>
  </si>
  <si>
    <t>Tutak Tutak Tutiya</t>
  </si>
  <si>
    <t>HIN024</t>
  </si>
  <si>
    <t>Chalte Chalte</t>
  </si>
  <si>
    <t>Vishal Mishra &amp; Arijit Singh</t>
  </si>
  <si>
    <t>HIN025</t>
  </si>
  <si>
    <t>Dil Ke Paas</t>
  </si>
  <si>
    <t>Abhijit Vaghani,Kalyanji-Anandji, Arijit Singh, Tulsi Kumar, Neuman Pinto, Rajendra Krishna</t>
  </si>
  <si>
    <t>Wajah Tum Ho</t>
  </si>
  <si>
    <t>HIN026</t>
  </si>
  <si>
    <t>Ghungroo</t>
  </si>
  <si>
    <t>Arijit Singh, Shilpa Rao</t>
  </si>
  <si>
    <t>War</t>
  </si>
  <si>
    <t>HIN027</t>
  </si>
  <si>
    <t>Janaab-E-Aali</t>
  </si>
  <si>
    <t>Sachet Tandon, Saaj Bhatt</t>
  </si>
  <si>
    <t>War 2</t>
  </si>
  <si>
    <t>HIN028</t>
  </si>
  <si>
    <t>Aavan Jaavan</t>
  </si>
  <si>
    <t>HIN029</t>
  </si>
  <si>
    <t>Mumbai Ke Hero</t>
  </si>
  <si>
    <t>Chirrantan Bhatt, Mika Singh, Talia Bentson</t>
  </si>
  <si>
    <t>Zanjeer</t>
  </si>
  <si>
    <t>Dance</t>
  </si>
  <si>
    <t>HIN030</t>
  </si>
  <si>
    <t>Lamha Tera Mera</t>
  </si>
  <si>
    <t>Chirrantan Bhatt, Wajhi Farooki, Palak Muchhal</t>
  </si>
  <si>
    <t>HIN031</t>
  </si>
  <si>
    <t>Kesariya</t>
  </si>
  <si>
    <t>Arijit Singh, Amitabh Bhattacharya, Jonita Gandhi</t>
  </si>
  <si>
    <t>Brahmastra</t>
  </si>
  <si>
    <t>HIN032</t>
  </si>
  <si>
    <t>Rasiya</t>
  </si>
  <si>
    <t>Shreya Ghoshal, Tushar Joshi</t>
  </si>
  <si>
    <t>Romantic, Melody</t>
  </si>
  <si>
    <t>HIN033</t>
  </si>
  <si>
    <t>Deva Deva</t>
  </si>
  <si>
    <t>HIN034</t>
  </si>
  <si>
    <t>Deedar De</t>
  </si>
  <si>
    <t>Asees Kaur, Dev Negi, Panchhi Jalonvi</t>
  </si>
  <si>
    <t>Chhalaang</t>
  </si>
  <si>
    <t>HIN035</t>
  </si>
  <si>
    <t>Khairiyat (Happy)</t>
  </si>
  <si>
    <t>Chhichhore</t>
  </si>
  <si>
    <t>HIN036</t>
  </si>
  <si>
    <t>Control</t>
  </si>
  <si>
    <t>Nakash Aziz, Manish J. Tipu, Geetsagar, Sreerama Chandra, Amitabh Bhattacharya</t>
  </si>
  <si>
    <t>Party/Youth</t>
  </si>
  <si>
    <t>HIN037</t>
  </si>
  <si>
    <t>Current Laga Re</t>
  </si>
  <si>
    <t>Lijo George, DJ Chetas, Nakash Aziz, Dhvani Bhanushali, Jonita Gandhi, Vivek Hariharan, Kumaar, Hari</t>
  </si>
  <si>
    <t>HIN038</t>
  </si>
  <si>
    <t>Tera Baap Aaya</t>
  </si>
  <si>
    <t>Farhad Bhiwandiwala</t>
  </si>
  <si>
    <t>Commando 3</t>
  </si>
  <si>
    <t>Mass (Energy)/Inspirational</t>
  </si>
  <si>
    <t>HIN039</t>
  </si>
  <si>
    <t>Sawan Aaya Hai</t>
  </si>
  <si>
    <t>Mithoon, Tony Kakkar, Arijit Singh</t>
  </si>
  <si>
    <t>Creature 3D</t>
  </si>
  <si>
    <t>HIN040</t>
  </si>
  <si>
    <t>Dhoom Machale</t>
  </si>
  <si>
    <t>Pritam, Sunidhi Chauhan, Sameer</t>
  </si>
  <si>
    <t>Dhoom</t>
  </si>
  <si>
    <t>Theme/Entry song</t>
  </si>
  <si>
    <t>HIN041</t>
  </si>
  <si>
    <t>Dhoom Again</t>
  </si>
  <si>
    <t>Pritam, Dominique Cerejo, Vishal Dadlani, Sameer</t>
  </si>
  <si>
    <t>Dhoom: 2</t>
  </si>
  <si>
    <t>HIN042</t>
  </si>
  <si>
    <t>Crazy Kiya Re</t>
  </si>
  <si>
    <t>Item, Dance</t>
  </si>
  <si>
    <t>HIN043</t>
  </si>
  <si>
    <t>Ishq Jalakar - Karvaan</t>
  </si>
  <si>
    <t>Shashwat Sachdev, Roshan, Shahzad Ali, Subhadeep Das Chowdhury, Armaan Khan, Sahir Ludhianvi, Irshad Kamil</t>
  </si>
  <si>
    <t>Dhurandhar</t>
  </si>
  <si>
    <t>Sad, Melody</t>
  </si>
  <si>
    <t>HIN044</t>
  </si>
  <si>
    <t>Shararat</t>
  </si>
  <si>
    <t>Shashwat Sachdev, Jasmine Sandlas, Madhubanti Bagchi</t>
  </si>
  <si>
    <t>HIN045</t>
  </si>
  <si>
    <t>Gehra Hua</t>
  </si>
  <si>
    <t>Shashwat Sachdev, Arijit Singh, Armaan Khan, Irshad Kamil</t>
  </si>
  <si>
    <t>HIN046</t>
  </si>
  <si>
    <t>Dil Galti Kar Baitha Hai</t>
  </si>
  <si>
    <t>Meet Bros, Shardul Rathod, Jubin Nautiyal, Manoj Muntashir</t>
  </si>
  <si>
    <t>HIN047</t>
  </si>
  <si>
    <t>Qayamat</t>
  </si>
  <si>
    <t>White Noise Collectives, Neeraj Shridhar, Shruti Dhasmana, Som</t>
  </si>
  <si>
    <t>Housefull 5</t>
  </si>
  <si>
    <t>HIN048</t>
  </si>
  <si>
    <t>Ek Do Teen</t>
  </si>
  <si>
    <t>Shreya Ghoshal, Parry Gripp</t>
  </si>
  <si>
    <t>Baaghi 2</t>
  </si>
  <si>
    <t>HIN049</t>
  </si>
  <si>
    <t>Soniye Dil Nayi</t>
  </si>
  <si>
    <t>Ankit Tiwari, Shruti Pathak</t>
  </si>
  <si>
    <t>HIN050</t>
  </si>
  <si>
    <t>Sab Tera</t>
  </si>
  <si>
    <t>Armaan Malik, Shraddha Kapoor</t>
  </si>
  <si>
    <t>Baaghi</t>
  </si>
  <si>
    <t>TAM001</t>
  </si>
  <si>
    <t>Monica</t>
  </si>
  <si>
    <t>Anirudh Ravichander, Sublahshini, Asal Kolaar, Vishnu Edavan</t>
  </si>
  <si>
    <t>Coolie</t>
  </si>
  <si>
    <t>Tamil</t>
  </si>
  <si>
    <t>Party, Dance</t>
  </si>
  <si>
    <t>TAM002</t>
  </si>
  <si>
    <t>Head Up High</t>
  </si>
  <si>
    <t>Yuvan Shankar Raja, Asal Kolaar, Arun Kaundinya, Karunkaran, Shri Shivani VP</t>
  </si>
  <si>
    <t>Custody</t>
  </si>
  <si>
    <t>Party, Dance, Mass</t>
  </si>
  <si>
    <t>TAM003</t>
  </si>
  <si>
    <t>Ammani Rukkumani</t>
  </si>
  <si>
    <t>Ilaiyaraaja, Premgi Amaran, M.M. Manasi, Muthamil</t>
  </si>
  <si>
    <t>TAM004</t>
  </si>
  <si>
    <t>Endhira Logathu Sundariye</t>
  </si>
  <si>
    <t>A.R. Rahman, Sid Sriram, Shashaa Tirupati, Madhan Karky Vairamuthu</t>
  </si>
  <si>
    <t>2.0 (Tamil)</t>
  </si>
  <si>
    <t>TAM005</t>
  </si>
  <si>
    <t>Naan Un</t>
  </si>
  <si>
    <t>A.R. Rahman, Arijit Singh, Chinmayi Sripada, Madhan Karky Vairamuthu</t>
  </si>
  <si>
    <t>24 (Tamil)</t>
  </si>
  <si>
    <t>TAM006</t>
  </si>
  <si>
    <t>Kaalam Yen Kadhali</t>
  </si>
  <si>
    <t>A.R. Rahman, Benny Dayal, Vairamuthu</t>
  </si>
  <si>
    <t>Futuristic/Sci-Fi</t>
  </si>
  <si>
    <t>TAM007</t>
  </si>
  <si>
    <t>Punnagaye</t>
  </si>
  <si>
    <t>A.R. Rahman, Haricharan Seshadri, Shashaa Tirupati, Vairamuthu</t>
  </si>
  <si>
    <t>TAM008</t>
  </si>
  <si>
    <t>Mei Nigara</t>
  </si>
  <si>
    <t>A.R. Rahman, Sid Sriram, Sanah Moidutty, Jonita Gandhi, Madhan Karky Vairamuthu</t>
  </si>
  <si>
    <t>TAM009</t>
  </si>
  <si>
    <t>Idhazhin Oram (The Innocence of Love)</t>
  </si>
  <si>
    <t>Anirudh Ravichander, Ajesh Ashok</t>
  </si>
  <si>
    <t>TAM010</t>
  </si>
  <si>
    <t>Oh Ringa Ringa</t>
  </si>
  <si>
    <t>Harris Jayaraj, Benny Dayal, Jerry John, Suchitra, Roshan, Pa. Vijay</t>
  </si>
  <si>
    <t>7aum Arivu</t>
  </si>
  <si>
    <t>TAM011</t>
  </si>
  <si>
    <t>Mun Andhi</t>
  </si>
  <si>
    <t>Harris Jayaraj, Karthik, Megha, Na. Muthukumar</t>
  </si>
  <si>
    <t>TAM012</t>
  </si>
  <si>
    <t>Harris Jayaraj, Karthik, Vijay Prakash, Pop Shalini, Shruti Haasan, Na. Muthukumar</t>
  </si>
  <si>
    <t>TAM013</t>
  </si>
  <si>
    <t>Hasili Fisiliye</t>
  </si>
  <si>
    <t>Harris Jayaraj, Karthik, Harini, Dr. Burn, Benny Dayal, Maya, Pa. Vijay</t>
  </si>
  <si>
    <t>Aadhavan</t>
  </si>
  <si>
    <t>TAM014</t>
  </si>
  <si>
    <t>Damakku Damakku</t>
  </si>
  <si>
    <t>Harris Jayaraj, Benny Dayal, Na. Muthukumar</t>
  </si>
  <si>
    <t>Mass, Dance</t>
  </si>
  <si>
    <t>TAM015</t>
  </si>
  <si>
    <t>Vaarayo Vaarayo</t>
  </si>
  <si>
    <t>Harris Jayaraj, P. Unnikrishnan, Chinmayi Sripada, Megha, Kabilan</t>
  </si>
  <si>
    <t>TAM016</t>
  </si>
  <si>
    <t>Yeno Yeno Panithuli</t>
  </si>
  <si>
    <t>Harris Jayaraj, Shail Hada, Sudha Raghunathan, Andrea Jeremiah, Thamarai</t>
  </si>
  <si>
    <t>TAM017</t>
  </si>
  <si>
    <t>Vaa Vaa Vaa Vennila</t>
  </si>
  <si>
    <t>Hiphop Tamizha, Mohit Chauhan, Amrita Shekar &amp; Nirthya Maria Andrews</t>
  </si>
  <si>
    <t>Aambala</t>
  </si>
  <si>
    <t>TAM018</t>
  </si>
  <si>
    <t>Madras To Madurai</t>
  </si>
  <si>
    <t>Hiphop Tamizha, Kailash Kher, Vishnupriya Ravi &amp; Maria Roe Vincent</t>
  </si>
  <si>
    <t>TAM019</t>
  </si>
  <si>
    <t>Pazhagikalam</t>
  </si>
  <si>
    <t>Hiphop Tamizha</t>
  </si>
  <si>
    <t>TAM020</t>
  </si>
  <si>
    <t>Arabic Kuthu - Halamithi Habibo</t>
  </si>
  <si>
    <t>Anirudh Ravichander, Jonita Gandhi, Sivakarthikeyan</t>
  </si>
  <si>
    <t>Beast</t>
  </si>
  <si>
    <t>TAM021</t>
  </si>
  <si>
    <t>Oo Solriya Oo Oo Solriya</t>
  </si>
  <si>
    <t>Andrea Jeremiah</t>
  </si>
  <si>
    <t>TAM022</t>
  </si>
  <si>
    <t>Jessica</t>
  </si>
  <si>
    <t>Thaman S</t>
  </si>
  <si>
    <t>Prince</t>
  </si>
  <si>
    <t>TAM023</t>
  </si>
  <si>
    <t>Kalloorum Poove</t>
  </si>
  <si>
    <t>Vijay Antony, Sarath Santhosh, Madhushree, Arun Bharathi</t>
  </si>
  <si>
    <t>Pichaikkaran 2</t>
  </si>
  <si>
    <t>TAM024</t>
  </si>
  <si>
    <t>Nana Buluku</t>
  </si>
  <si>
    <t>Vijay Antony, Kharesma Ravichandran, Arun Bharathi</t>
  </si>
  <si>
    <t>TAM025</t>
  </si>
  <si>
    <t>Koyil Silaye</t>
  </si>
  <si>
    <t>Vijay Antony, Nivas, Arun Bharathi</t>
  </si>
  <si>
    <t>TAM026</t>
  </si>
  <si>
    <t>Oru Kan Jaadai</t>
  </si>
  <si>
    <t>Yuvan Shankar Raja, Benny Dayal, Shweta Pandit, Viveka</t>
  </si>
  <si>
    <t>Anjaan</t>
  </si>
  <si>
    <t>TAM027</t>
  </si>
  <si>
    <t>Achacho</t>
  </si>
  <si>
    <t>Hiphop Tamizha, Kharesma Ravichandran, Srinisha Jayaseelan, Vignesh Srikanth</t>
  </si>
  <si>
    <t>Aranmanai 4</t>
  </si>
  <si>
    <t>TAM028</t>
  </si>
  <si>
    <t>Mazhai Megam</t>
  </si>
  <si>
    <t>Yuvan Shankar Raja, Priya Jerson, Arunraja Kamaraj</t>
  </si>
  <si>
    <t>Balloon</t>
  </si>
  <si>
    <t>TAM029</t>
  </si>
  <si>
    <t>Nahna Na Nah</t>
  </si>
  <si>
    <t>Yuvan Shankar Raja, Devan Ekambaram, Vaali</t>
  </si>
  <si>
    <t>Biriyani</t>
  </si>
  <si>
    <t>TAM030</t>
  </si>
  <si>
    <t>Pathala</t>
  </si>
  <si>
    <t>Thaman S, Deepak Blue</t>
  </si>
  <si>
    <t>Enemy</t>
  </si>
  <si>
    <t>TAM031</t>
  </si>
  <si>
    <t>Tum Tum</t>
  </si>
  <si>
    <t>Thaman S, Sri Vardhini, Aditi Bhavaraju, Satya Yamini, Roshini JKV, Tejaswini</t>
  </si>
  <si>
    <t>TAM032</t>
  </si>
  <si>
    <t>Arima Arima</t>
  </si>
  <si>
    <t>A.R. Rahman, Hariharan, Sadhana Sargam, Benny Dayal, Naresh Iyer</t>
  </si>
  <si>
    <t>Enthiran</t>
  </si>
  <si>
    <t>Electronic, Dance</t>
  </si>
  <si>
    <t>TAM033</t>
  </si>
  <si>
    <t>Irumbile Oru Idhaiyam</t>
  </si>
  <si>
    <t>A.R. Rahman, Kash n' Krissy, Madhan Karky Vairamuthu</t>
  </si>
  <si>
    <t>Electronic, Dance, Romantic</t>
  </si>
  <si>
    <t>TAM034</t>
  </si>
  <si>
    <t>Kadhal Anukkal</t>
  </si>
  <si>
    <t>A.R. Rahman, Vijay Prakash, Shreya Ghoshal, Vairamuthu</t>
  </si>
  <si>
    <t>Romantic-Pop</t>
  </si>
  <si>
    <t>TAM035</t>
  </si>
  <si>
    <t>Kilimanjaro</t>
  </si>
  <si>
    <t>A.R. Rahman, Javed Ali, Chinmayi Sripada, Pa. Vijay</t>
  </si>
  <si>
    <t>TAM036</t>
  </si>
  <si>
    <t>Oru Maalai</t>
  </si>
  <si>
    <t>Harris Jayaraj, Karthik, Thamarai</t>
  </si>
  <si>
    <t>Ghajini</t>
  </si>
  <si>
    <t>TAM037</t>
  </si>
  <si>
    <t>Rahathulla</t>
  </si>
  <si>
    <t>Harris Jayaraj, Annupamaa Krishnaswami, Thamarai</t>
  </si>
  <si>
    <t>TAM038</t>
  </si>
  <si>
    <t>X-Machi</t>
  </si>
  <si>
    <t>Harris Jayaraj, Nakkhul Jaidev, Mathangi Jagdish, Vaali</t>
  </si>
  <si>
    <t>TAM039</t>
  </si>
  <si>
    <t>Halena</t>
  </si>
  <si>
    <t>Harris Jayaraj, Christopher Stanley, Abhay Jodhpurkar, Ujjayinee Roy, Madhan Karky Vairamuthu</t>
  </si>
  <si>
    <t>Iru Mugan</t>
  </si>
  <si>
    <t>TAM040</t>
  </si>
  <si>
    <t>Oh Maya</t>
  </si>
  <si>
    <t>Harris Jayaraj, N.C. Karunya, Ramya NSK, Thamarai</t>
  </si>
  <si>
    <t>TAM041</t>
  </si>
  <si>
    <t>Kannai Vittu</t>
  </si>
  <si>
    <t>Harris Jayaraj, Tippu, Pravin Saivi, Srimathumitha, Madhan Karky Vairamuthu</t>
  </si>
  <si>
    <t>TAM042</t>
  </si>
  <si>
    <t>Enakke Enakkaa</t>
  </si>
  <si>
    <t>A.R. Rahman, P. Unnikrishnan, S.P.B. Pallavi, Vairamuthu</t>
  </si>
  <si>
    <t>Jeans</t>
  </si>
  <si>
    <t>TAM043</t>
  </si>
  <si>
    <t>Poovukkul</t>
  </si>
  <si>
    <t>A.R. Rahman, P. Unnikrishnan, Sujatha Mohan, Vairamuthu</t>
  </si>
  <si>
    <t>TAM044</t>
  </si>
  <si>
    <t>Maya Nadhi</t>
  </si>
  <si>
    <t>Santhosh Narayanan, Ananthu, Pradeep Kumar, Shweta Mohan, Uma Devi</t>
  </si>
  <si>
    <t>Kabali</t>
  </si>
  <si>
    <t>Melody</t>
  </si>
  <si>
    <t>TAM045</t>
  </si>
  <si>
    <t>Neruppu Da</t>
  </si>
  <si>
    <t>Santhosh Narayanan, Arunraja Kamaraj</t>
  </si>
  <si>
    <t>Mass, Inspirational</t>
  </si>
  <si>
    <t>TAM046</t>
  </si>
  <si>
    <t>Yolo</t>
  </si>
  <si>
    <t>Devi Sri Prasad, Lavita Lobo, Viveka</t>
  </si>
  <si>
    <t>Kanguva</t>
  </si>
  <si>
    <t>TAM047</t>
  </si>
  <si>
    <t>Ennai Vittu</t>
  </si>
  <si>
    <t>Yuvan Shankar Raja, Sid Sriram, Pradeep Ranganathan</t>
  </si>
  <si>
    <t>Love Today</t>
  </si>
  <si>
    <t>TAM048</t>
  </si>
  <si>
    <t>Saachitale</t>
  </si>
  <si>
    <t>Yuvan Shankar Raja, Pradeep Ranganathan</t>
  </si>
  <si>
    <t>TAM049</t>
  </si>
  <si>
    <t>Rowdy Baby</t>
  </si>
  <si>
    <t>Yuvan Shankar Raja, Dhanush, Dhee</t>
  </si>
  <si>
    <t>Maari 2</t>
  </si>
  <si>
    <t>TAM050</t>
  </si>
  <si>
    <t>Kadhal Valarthen</t>
  </si>
  <si>
    <t>Yuvan Shankar Raja, KK, Pa. Vijay</t>
  </si>
  <si>
    <t>Manmadhan</t>
  </si>
  <si>
    <t>MAL001</t>
  </si>
  <si>
    <t>Welcome to Hyderabad</t>
  </si>
  <si>
    <t>Vishnu Vijay, Suhail Koya, Kapil Kapilan, Shakthisree Gopalan</t>
  </si>
  <si>
    <t>Premalu</t>
  </si>
  <si>
    <t>Malayalam</t>
  </si>
  <si>
    <t>MAL002</t>
  </si>
  <si>
    <t>Mini Maharani</t>
  </si>
  <si>
    <t>Vishnu Vijay, Suhail Koya, Kapil Kapilan, Vagu Mazan</t>
  </si>
  <si>
    <t>MAL003</t>
  </si>
  <si>
    <t>Kutty Kudiye</t>
  </si>
  <si>
    <t>Vishnu Vijay, Suhail Koya, Sanjith Hegde</t>
  </si>
  <si>
    <t>MAL004</t>
  </si>
  <si>
    <t>Telangana Bommalu</t>
  </si>
  <si>
    <t>Vishnu Vijay, Suhail Koya, K.G. Markose</t>
  </si>
  <si>
    <t>Fun/Youth</t>
  </si>
  <si>
    <t>MAL005</t>
  </si>
  <si>
    <t>Illuminati</t>
  </si>
  <si>
    <t>Sushin Shyam, Dabzee, Vinayak Sasikumar</t>
  </si>
  <si>
    <t>Aavesham</t>
  </si>
  <si>
    <t>MAL006</t>
  </si>
  <si>
    <t>Galatta</t>
  </si>
  <si>
    <t>Sushin Shyam, Paal Dabba, Vinayak Sasikumar</t>
  </si>
  <si>
    <t>Party, Mass</t>
  </si>
  <si>
    <t>MAL007</t>
  </si>
  <si>
    <t>Adholokam</t>
  </si>
  <si>
    <t>Sushin Shyam, Vipin Raveendran, Vinayak Sasikumar</t>
  </si>
  <si>
    <t>MAL008</t>
  </si>
  <si>
    <t>Odimaga</t>
  </si>
  <si>
    <t>Sushin Shyam, Nazriya Nazim, Vinayak Sasikumar</t>
  </si>
  <si>
    <t>MAL009</t>
  </si>
  <si>
    <t>Armadham</t>
  </si>
  <si>
    <t>Sushin Shyam, Pranavam Sasi, Vinayak Sasikumar</t>
  </si>
  <si>
    <t>MAL010</t>
  </si>
  <si>
    <t>Kiliye Kiliye - Afrobeat Mix</t>
  </si>
  <si>
    <t>The Independers, S. Janaki, Ilaiyaraaja</t>
  </si>
  <si>
    <t>Lokah Chapter 1: Chandra</t>
  </si>
  <si>
    <t>Dance, Party</t>
  </si>
  <si>
    <t>MAL011</t>
  </si>
  <si>
    <t>Kadavule Pole</t>
  </si>
  <si>
    <t>Karthik, Bharadwaj</t>
  </si>
  <si>
    <t>Lucifer</t>
  </si>
  <si>
    <t>MAL012</t>
  </si>
  <si>
    <t>Empuraane</t>
  </si>
  <si>
    <t>Usha Uthup</t>
  </si>
  <si>
    <t>Theme</t>
  </si>
  <si>
    <t>MAL013</t>
  </si>
  <si>
    <t>Adakachakko</t>
  </si>
  <si>
    <t>Jakes Bejoy, Biju Menon, Prithviraj Sukumaran, Biju Menon, Hari Nayayanan B.K.</t>
  </si>
  <si>
    <t>AK - Ayyappannum Koshiyum</t>
  </si>
  <si>
    <t>MAL014</t>
  </si>
  <si>
    <t>Kalakkatha (Title Song)</t>
  </si>
  <si>
    <t>Jakes Bejoy, Nanjiyamma</t>
  </si>
  <si>
    <t>MAL015</t>
  </si>
  <si>
    <t>Ariyathariyathe</t>
  </si>
  <si>
    <t>Jakes Bejoy, Kottakkal Madhu</t>
  </si>
  <si>
    <t>MAL016</t>
  </si>
  <si>
    <t>Minnalvala</t>
  </si>
  <si>
    <t>Jakes Bejoy, Sid Sriram, Sithara Krishnakumar</t>
  </si>
  <si>
    <t>Narivetta</t>
  </si>
  <si>
    <t>MAL017</t>
  </si>
  <si>
    <t>Kannil Pettole</t>
  </si>
  <si>
    <t>Vishnu Vijay, Irfana Hameed, Mu.Ri</t>
  </si>
  <si>
    <t>Thallumaala</t>
  </si>
  <si>
    <t>MAL018</t>
  </si>
  <si>
    <t>Ole Melody</t>
  </si>
  <si>
    <t>Vishnu Vijay, Haricharan Seshadri, Benny Dayal, Salim Kumar, Mu.Ri</t>
  </si>
  <si>
    <t>MAL019</t>
  </si>
  <si>
    <t>Thallumaala Paattu</t>
  </si>
  <si>
    <t>Vishnu Vijay, Hrithik Jayakish, Neha Girish, Eshaan Sanil, Thejas Krishna</t>
  </si>
  <si>
    <t>Traditional</t>
  </si>
  <si>
    <t>MAL020</t>
  </si>
  <si>
    <t>Ndaakkippattu</t>
  </si>
  <si>
    <t>Vishnu Vijay, Muhsin Parari, Shenbagaraj, Santhosh Hariharan, Sreeraj, Swathi Das, Austin Dan, Lukman Avaran, Adri Joe, Gokulan, Binu Pappu, Mu.Ri</t>
  </si>
  <si>
    <t>MAL021</t>
  </si>
  <si>
    <t>Manavaalan Thug</t>
  </si>
  <si>
    <t>Dabzee, SA, MHR</t>
  </si>
  <si>
    <t>MAL022</t>
  </si>
  <si>
    <t>Tupathu</t>
  </si>
  <si>
    <t>Vishnu Vijay, Shakthisree Gopalan, Tovino Thomas</t>
  </si>
  <si>
    <t>Romantic - Pop</t>
  </si>
  <si>
    <t>MAL023</t>
  </si>
  <si>
    <t>Chakkarachundil</t>
  </si>
  <si>
    <t>Vishnu Vijay, Tovino Thomas, Mu.Ri</t>
  </si>
  <si>
    <t>MAL024</t>
  </si>
  <si>
    <t>Manasakamil - Manavalan Unleashed</t>
  </si>
  <si>
    <t>Vishnu Vijay, Meera Prakash, Sinduri, Gayathry Rajiv</t>
  </si>
  <si>
    <t>MAL025</t>
  </si>
  <si>
    <t>Thoottikkanoda Patha</t>
  </si>
  <si>
    <t>Vishnu Vijay, Khalid Rahman</t>
  </si>
  <si>
    <t>Row Labels</t>
  </si>
  <si>
    <t>Grand Total</t>
  </si>
  <si>
    <t>Count of Song Name</t>
  </si>
  <si>
    <t>Music Analytics Dashboard</t>
  </si>
  <si>
    <t>Songs by Genre</t>
  </si>
  <si>
    <t>Songs by Language</t>
  </si>
  <si>
    <t>Songs by Movie</t>
  </si>
  <si>
    <t>Songs by Singers</t>
  </si>
  <si>
    <t>Performance category</t>
  </si>
  <si>
    <t>Revenue Categor</t>
  </si>
  <si>
    <t>55m</t>
  </si>
  <si>
    <t>13m</t>
  </si>
  <si>
    <t>83m</t>
  </si>
  <si>
    <t>150m</t>
  </si>
  <si>
    <t>91m</t>
  </si>
  <si>
    <t>949m</t>
  </si>
  <si>
    <t>8.8m</t>
  </si>
  <si>
    <t>9.8m</t>
  </si>
  <si>
    <t>26m</t>
  </si>
  <si>
    <t>31m</t>
  </si>
  <si>
    <t>175m</t>
  </si>
  <si>
    <t>2.5m</t>
  </si>
  <si>
    <t>321m</t>
  </si>
  <si>
    <t>237m</t>
  </si>
  <si>
    <t>289m</t>
  </si>
  <si>
    <t>92m</t>
  </si>
  <si>
    <t>36m</t>
  </si>
  <si>
    <t>5.9m</t>
  </si>
  <si>
    <t>30m</t>
  </si>
  <si>
    <t>496m</t>
  </si>
  <si>
    <t>67m</t>
  </si>
  <si>
    <t>136m</t>
  </si>
  <si>
    <t>4.5m</t>
  </si>
  <si>
    <t>4.3m</t>
  </si>
  <si>
    <t>607m</t>
  </si>
  <si>
    <t>37m</t>
  </si>
  <si>
    <t>211m</t>
  </si>
  <si>
    <t>71m</t>
  </si>
  <si>
    <t>1.2b</t>
  </si>
  <si>
    <t>9.7m</t>
  </si>
  <si>
    <t>115m</t>
  </si>
  <si>
    <t>213m</t>
  </si>
  <si>
    <t>201m</t>
  </si>
  <si>
    <t>399m</t>
  </si>
  <si>
    <t>57m</t>
  </si>
  <si>
    <t>293m</t>
  </si>
  <si>
    <t>99m</t>
  </si>
  <si>
    <t>181m</t>
  </si>
  <si>
    <t>704m</t>
  </si>
  <si>
    <t>40m</t>
  </si>
  <si>
    <t>267m</t>
  </si>
  <si>
    <t>49m</t>
  </si>
  <si>
    <t>171m</t>
  </si>
  <si>
    <t>282m</t>
  </si>
  <si>
    <t>29m</t>
  </si>
  <si>
    <t>48k</t>
  </si>
  <si>
    <t>35m</t>
  </si>
  <si>
    <t>54m</t>
  </si>
  <si>
    <t>3.8m</t>
  </si>
  <si>
    <t>1m</t>
  </si>
  <si>
    <t>155m</t>
  </si>
  <si>
    <t>45m</t>
  </si>
  <si>
    <t>52m</t>
  </si>
  <si>
    <t>22m</t>
  </si>
  <si>
    <t>61m</t>
  </si>
  <si>
    <t>50m</t>
  </si>
  <si>
    <t>19m</t>
  </si>
  <si>
    <t>34m</t>
  </si>
  <si>
    <t>782m</t>
  </si>
  <si>
    <t>142m</t>
  </si>
  <si>
    <t>7.4m</t>
  </si>
  <si>
    <t>2.8m</t>
  </si>
  <si>
    <t>8.6m</t>
  </si>
  <si>
    <t>4.8m</t>
  </si>
  <si>
    <t>21m</t>
  </si>
  <si>
    <t>520m</t>
  </si>
  <si>
    <t>94k</t>
  </si>
  <si>
    <t>7.5m</t>
  </si>
  <si>
    <t>3.1m</t>
  </si>
  <si>
    <t>717m</t>
  </si>
  <si>
    <t>18m</t>
  </si>
  <si>
    <t>41m</t>
  </si>
  <si>
    <t>3.4m</t>
  </si>
  <si>
    <t>2.7m</t>
  </si>
  <si>
    <t>59m</t>
  </si>
  <si>
    <t>3.7m</t>
  </si>
  <si>
    <t>68m</t>
  </si>
  <si>
    <t>1.7b</t>
  </si>
  <si>
    <t>10m</t>
  </si>
  <si>
    <t>9.2m</t>
  </si>
  <si>
    <t>408m</t>
  </si>
  <si>
    <t>1.1m</t>
  </si>
  <si>
    <t>116m</t>
  </si>
  <si>
    <t>43m</t>
  </si>
  <si>
    <t>9.1m</t>
  </si>
  <si>
    <t>5.7m</t>
  </si>
  <si>
    <t>11m</t>
  </si>
  <si>
    <t>58m</t>
  </si>
  <si>
    <t>146m</t>
  </si>
  <si>
    <t>25m</t>
  </si>
  <si>
    <t>8.7m</t>
  </si>
  <si>
    <t>124m</t>
  </si>
  <si>
    <t>5.6m</t>
  </si>
  <si>
    <t>165k</t>
  </si>
  <si>
    <t>8m</t>
  </si>
  <si>
    <t>5.2m</t>
  </si>
  <si>
    <t>6.9m</t>
  </si>
  <si>
    <t>806k</t>
  </si>
  <si>
    <t>1.6m</t>
  </si>
  <si>
    <t>46m</t>
  </si>
  <si>
    <t>507m</t>
  </si>
  <si>
    <t>138m</t>
  </si>
  <si>
    <t>760m</t>
  </si>
  <si>
    <t>581m</t>
  </si>
  <si>
    <t>23m</t>
  </si>
  <si>
    <t>17m</t>
  </si>
  <si>
    <t>60m</t>
  </si>
  <si>
    <t>3.2m</t>
  </si>
  <si>
    <t>81m</t>
  </si>
  <si>
    <t>1.9m</t>
  </si>
  <si>
    <t>39m</t>
  </si>
  <si>
    <t>8.7k</t>
  </si>
  <si>
    <t>7.6m</t>
  </si>
  <si>
    <t>6.4m</t>
  </si>
  <si>
    <t>1.3m</t>
  </si>
  <si>
    <t>3.5m</t>
  </si>
  <si>
    <t>8.1m</t>
  </si>
  <si>
    <t>287k</t>
  </si>
  <si>
    <t>1.8m</t>
  </si>
  <si>
    <t>70m</t>
  </si>
  <si>
    <t>20m</t>
  </si>
  <si>
    <t>1.5m</t>
  </si>
  <si>
    <t>4.7m</t>
  </si>
  <si>
    <t>51m</t>
  </si>
  <si>
    <t>4.1m</t>
  </si>
  <si>
    <t>229k</t>
  </si>
  <si>
    <t>14m</t>
  </si>
  <si>
    <t>9.5m</t>
  </si>
  <si>
    <t>229m</t>
  </si>
  <si>
    <t>204m</t>
  </si>
  <si>
    <t>548m</t>
  </si>
  <si>
    <t>131m</t>
  </si>
  <si>
    <t>Views (YouTube)</t>
  </si>
  <si>
    <t>Hit</t>
  </si>
  <si>
    <t>High</t>
  </si>
  <si>
    <t>Performance Chart</t>
  </si>
  <si>
    <t>Revenue Chart</t>
  </si>
  <si>
    <t>Count of Genre</t>
  </si>
  <si>
    <t>Count of Views (YouTube)</t>
  </si>
  <si>
    <t>Rank</t>
  </si>
  <si>
    <t>Top 10 Songs by Views</t>
  </si>
  <si>
    <t>Dhanush</t>
  </si>
  <si>
    <t>Mohit Chauhan</t>
  </si>
  <si>
    <t>K.G. Ranjith, Sharanya Srinivas, K.G. Ranjith, Bhargavi Pillai, Rahul Rido</t>
  </si>
  <si>
    <t>Rahul Pandey, Anup Rubens</t>
  </si>
  <si>
    <t>Raghav Chaitanya, Pritam</t>
  </si>
  <si>
    <t>Anudeep Dev</t>
  </si>
  <si>
    <t>Yo Yo Honey Singh</t>
  </si>
  <si>
    <t>Sachet Tandon, Parampara Tandon</t>
  </si>
  <si>
    <t>Papon, Shreya Ghoshal</t>
  </si>
  <si>
    <t>Shefali Alvares, Nikhil D'Souza, Javed Bashir</t>
  </si>
  <si>
    <t>Miss Pooja, Neha Kakkar, Nakash Aziz</t>
  </si>
  <si>
    <t>Sonu Nigam, Swanand Kirkire, Shaan</t>
  </si>
  <si>
    <t>Jubin Nautiyal</t>
  </si>
  <si>
    <t>Pritam, Shilpa Rao, Darshan Raval, Shashwat Singh, Charan</t>
  </si>
  <si>
    <t>Pritam, Arijit Singh</t>
  </si>
  <si>
    <t>Talwiinder, MC Square</t>
  </si>
  <si>
    <t>Sachin-Jigar, Raghav Chaitanya, Varun Jain</t>
  </si>
  <si>
    <t>Yohani, Jubin Nautiyal, Surya Raghunaathan</t>
  </si>
  <si>
    <t>Wajid</t>
  </si>
  <si>
    <t>Arijit Singh, Tulsi Kumar, Neuman Pinto</t>
  </si>
  <si>
    <t>Mika Singh, Talia Bentson</t>
  </si>
  <si>
    <t>Wajhi Farooki, Palak Muchhal</t>
  </si>
  <si>
    <t>Arijit Singh, Jonita Gandhi</t>
  </si>
  <si>
    <t>Tushar Joshi, Shreya Ghoshal</t>
  </si>
  <si>
    <t>Asees Kaur, Dev Negi</t>
  </si>
  <si>
    <t>Nakash Aziz, Dhvani Bhanushali, Jonita Gandhi, Lijo George, Vivek Hariharan</t>
  </si>
  <si>
    <t>Sunidhi Chauhan</t>
  </si>
  <si>
    <t>Dominique Cerejo, Vishal Dadlani</t>
  </si>
  <si>
    <t>Shashwat Sachdev, Roshan, Shahzad Ali, Subhadeep Das Chowdhury, Armaan Khan</t>
  </si>
  <si>
    <t>Madhubanti Bagchi, Jasmine Sandlas</t>
  </si>
  <si>
    <t>Arijit Singh, Armaan Khan</t>
  </si>
  <si>
    <t>Neeraj Shridhar, Shruti Dhasmana</t>
  </si>
  <si>
    <t>Anirudh Ravichander, Sublahshini, Asal Kolaar</t>
  </si>
  <si>
    <t>Yuvan Shankar Raja, Asal Kolaar, Arun Kaundinya</t>
  </si>
  <si>
    <t>Premgi Amaren, M.M. Manasi</t>
  </si>
  <si>
    <t>Sid Sriram, Shashaa Tirupati</t>
  </si>
  <si>
    <t>Benny Dayal</t>
  </si>
  <si>
    <t>Haricharan Seshadri, Shashaa Tirupati</t>
  </si>
  <si>
    <t>Sid Sriram, Sanah Moidutty, Jonita Gandhi</t>
  </si>
  <si>
    <t>Benny Dayal, Jerry John, Suchitra, Roshan</t>
  </si>
  <si>
    <t>Karthik, Vijay Prakash, Pop Shalini, Shruti Haasan</t>
  </si>
  <si>
    <t>Karthik, Harini, Dr. Burn, Maya</t>
  </si>
  <si>
    <t>P. Unnikrishnan, Chinmayi Sripada, Megha</t>
  </si>
  <si>
    <t>Shail Hada, Sudha Raghunathan, Andrea Jeremiah</t>
  </si>
  <si>
    <t>Mohit Chauhan, Amrita Shekar, Nirthya Maria Andrews</t>
  </si>
  <si>
    <t>Kailash Kher, Vishnupriya Ravi &amp; Maria Roe Vincent</t>
  </si>
  <si>
    <t>Anirudh Ravichander, Jonita Gandhi</t>
  </si>
  <si>
    <t>Vijay Antony, Sarath Santhosh, Madhu Sree</t>
  </si>
  <si>
    <t>Kharesma Ravichandran, Kudoshi, Kutty (Malaysia)</t>
  </si>
  <si>
    <t>Nivas</t>
  </si>
  <si>
    <t>Benny Dayal, Shweta Pandit</t>
  </si>
  <si>
    <t>Kharesma Ravichandran, Srinisha Jayaseelan</t>
  </si>
  <si>
    <t>Yuvan Shankar Raja, Priya Jerson, Arunraja Kamaraj, Hiphop Tamizha</t>
  </si>
  <si>
    <t>Devan Ekambaram, Yuvan Shankar Raja</t>
  </si>
  <si>
    <t>Deepak Blue</t>
  </si>
  <si>
    <t>Sri Vardhini, Aditi Bhavaraju, Satya Yamini, Roshini, Tejaswini</t>
  </si>
  <si>
    <t>Hariharan, Sadhana Sargam, Benny Dayal, Naresh Iyer</t>
  </si>
  <si>
    <t>A.R. Rahman, Kash n' Krissy</t>
  </si>
  <si>
    <t>Vijay Prakash, Shreya Ghoshal</t>
  </si>
  <si>
    <t>Javed Ali, Chinmayi Sripada</t>
  </si>
  <si>
    <t>Anupama</t>
  </si>
  <si>
    <t>Nakkhul, Mathangi Jagdish</t>
  </si>
  <si>
    <t>Harris Jayaraj, Christopher Stanley, Abhay Jodhpurkar, Ujjayinee Roy</t>
  </si>
  <si>
    <t>Harris Jayaraj, N.C. Karunya, Ramya NSK</t>
  </si>
  <si>
    <t>Harris Jayaraj, Tippu, Pravin Saivi, Srimathumitha</t>
  </si>
  <si>
    <t>P. Unnikrishnan, S.P.B. Pallavi</t>
  </si>
  <si>
    <t>P. Unnikrishnan, Sujatha Mohan</t>
  </si>
  <si>
    <t>Ananthu, Pradeep Kumar, Swetha Mohan</t>
  </si>
  <si>
    <t>Devi Sri Prasad, Lavita Lobo</t>
  </si>
  <si>
    <t>Sid Sriram</t>
  </si>
  <si>
    <t>Yuvan Shankar Raja</t>
  </si>
  <si>
    <t>Dhanush, Dhee</t>
  </si>
  <si>
    <t>KK</t>
  </si>
  <si>
    <t>Vishnu Vijay, Kapil Kapilan, Shakthisree Gopalan</t>
  </si>
  <si>
    <t>Vishnu Vijay, Kapil Kapilan, Vagu Mazan</t>
  </si>
  <si>
    <t>Vishnu Vijay, Sanjith Hegde</t>
  </si>
  <si>
    <t>Vishnu Vijay, K.G. Markose</t>
  </si>
  <si>
    <t>Dabzee</t>
  </si>
  <si>
    <t>Paal Dabba, Sushin Shyam</t>
  </si>
  <si>
    <t>Vipin Raveendran</t>
  </si>
  <si>
    <t>Sushin Shyam, Nazriya Nazim</t>
  </si>
  <si>
    <t>Pranavam Sasi</t>
  </si>
  <si>
    <t>S. Janaki</t>
  </si>
  <si>
    <t>Prithviraj Sukumaran, Biju Menon, Nanjamma</t>
  </si>
  <si>
    <t>Nanjamma</t>
  </si>
  <si>
    <t>Kottakal Madhu</t>
  </si>
  <si>
    <t>Sid Sriram, Sithara Krishnakumar</t>
  </si>
  <si>
    <t>Vishnu Vijay, Irfana Hameed</t>
  </si>
  <si>
    <t>Haricharan Seshadri, Benny Dayal, Salim Kumar, Vishnu Vijay</t>
  </si>
  <si>
    <t>Hrithik Jayakish, Neha Girish, Eshaan Sanil, Thejas Krishna, Vishnu Vijay</t>
  </si>
  <si>
    <t>Vishnu Vijay, Muhsin Parari, Shenbagaraj, Santhosh Hariharan, Sreeraj, Swathi Das, Austin Dan, Lukman Avaran, Adri Joe, Gokulan, Binu Pappu</t>
  </si>
  <si>
    <t>Dabzee, SA</t>
  </si>
  <si>
    <t>Tovino Thomas, Vishnu Vijay, Shakthisree Gopalan</t>
  </si>
  <si>
    <t>Vishnu Vijay, Tovino Thomas</t>
  </si>
  <si>
    <t>Meera Prakash, Sinduri, Gayathry Rajiv, Vishnu Vijay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</si>
</sst>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 fillId="0" borderId="0" xfId="0" applyFont="1"/>
    <xf numFmtId="3" fontId="0" fillId="0" borderId="0" xfId="0" applyNumberFormat="1"/>
  </cellXfs>
  <cellStyles count="1">
    <cellStyle name="Normal" xfId="0" builtinId="0"/>
  </cellStyles>
  <dxfs count="1">
    <dxf>
      <numFmt numFmtId="3" formatCode="#,##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[music-metadata-da.xlsx]Sheet14!PivotTable20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471-4206-8FB2-0C0F98777D6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471-4206-8FB2-0C0F98777D6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471-4206-8FB2-0C0F98777D6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471-4206-8FB2-0C0F98777D6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471-4206-8FB2-0C0F98777D6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471-4206-8FB2-0C0F98777D6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471-4206-8FB2-0C0F98777D6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471-4206-8FB2-0C0F98777D6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471-4206-8FB2-0C0F98777D6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471-4206-8FB2-0C0F98777D6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471-4206-8FB2-0C0F98777D6E}"/>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471-4206-8FB2-0C0F98777D6E}"/>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471-4206-8FB2-0C0F98777D6E}"/>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471-4206-8FB2-0C0F98777D6E}"/>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1471-4206-8FB2-0C0F98777D6E}"/>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1471-4206-8FB2-0C0F98777D6E}"/>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1471-4206-8FB2-0C0F98777D6E}"/>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1471-4206-8FB2-0C0F98777D6E}"/>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1471-4206-8FB2-0C0F98777D6E}"/>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1471-4206-8FB2-0C0F98777D6E}"/>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1471-4206-8FB2-0C0F98777D6E}"/>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1471-4206-8FB2-0C0F98777D6E}"/>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1471-4206-8FB2-0C0F98777D6E}"/>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1471-4206-8FB2-0C0F98777D6E}"/>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1471-4206-8FB2-0C0F98777D6E}"/>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1471-4206-8FB2-0C0F98777D6E}"/>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1471-4206-8FB2-0C0F98777D6E}"/>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1471-4206-8FB2-0C0F98777D6E}"/>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1471-4206-8FB2-0C0F98777D6E}"/>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1471-4206-8FB2-0C0F98777D6E}"/>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1471-4206-8FB2-0C0F98777D6E}"/>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1471-4206-8FB2-0C0F98777D6E}"/>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1471-4206-8FB2-0C0F98777D6E}"/>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1471-4206-8FB2-0C0F98777D6E}"/>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1471-4206-8FB2-0C0F98777D6E}"/>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1471-4206-8FB2-0C0F98777D6E}"/>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1471-4206-8FB2-0C0F98777D6E}"/>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1471-4206-8FB2-0C0F98777D6E}"/>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1471-4206-8FB2-0C0F98777D6E}"/>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1471-4206-8FB2-0C0F98777D6E}"/>
              </c:ext>
            </c:extLst>
          </c:dPt>
          <c:cat>
            <c:strRef>
              <c:f>Sheet14!$A$4:$A$44</c:f>
              <c:strCache>
                <c:ptCount val="40"/>
                <c:pt idx="0">
                  <c:v>Dance</c:v>
                </c:pt>
                <c:pt idx="1">
                  <c:v>Dance, Party</c:v>
                </c:pt>
                <c:pt idx="2">
                  <c:v>Devotional</c:v>
                </c:pt>
                <c:pt idx="3">
                  <c:v>Electronic, Dance</c:v>
                </c:pt>
                <c:pt idx="4">
                  <c:v>Electronic, Dance, Romantic</c:v>
                </c:pt>
                <c:pt idx="5">
                  <c:v>Folk</c:v>
                </c:pt>
                <c:pt idx="6">
                  <c:v>Fun</c:v>
                </c:pt>
                <c:pt idx="7">
                  <c:v>Fun/Youth</c:v>
                </c:pt>
                <c:pt idx="8">
                  <c:v>Futuristic/Sci-Fi</c:v>
                </c:pt>
                <c:pt idx="9">
                  <c:v>Inspirational</c:v>
                </c:pt>
                <c:pt idx="10">
                  <c:v>Item, Dance</c:v>
                </c:pt>
                <c:pt idx="11">
                  <c:v>Item, Mass</c:v>
                </c:pt>
                <c:pt idx="12">
                  <c:v>Love</c:v>
                </c:pt>
                <c:pt idx="13">
                  <c:v>Mass</c:v>
                </c:pt>
                <c:pt idx="14">
                  <c:v>Mass (Energy)</c:v>
                </c:pt>
                <c:pt idx="15">
                  <c:v>Mass (Energy), Inspirational</c:v>
                </c:pt>
                <c:pt idx="16">
                  <c:v>Mass (Energy)/Inspirational</c:v>
                </c:pt>
                <c:pt idx="17">
                  <c:v>Mass, Dance</c:v>
                </c:pt>
                <c:pt idx="18">
                  <c:v>Mass, Inspirational</c:v>
                </c:pt>
                <c:pt idx="19">
                  <c:v>Melody</c:v>
                </c:pt>
                <c:pt idx="20">
                  <c:v>Party</c:v>
                </c:pt>
                <c:pt idx="21">
                  <c:v>Party, Dance</c:v>
                </c:pt>
                <c:pt idx="22">
                  <c:v>Party, Dance, Mass</c:v>
                </c:pt>
                <c:pt idx="23">
                  <c:v>Party, Mass</c:v>
                </c:pt>
                <c:pt idx="24">
                  <c:v>Party/Youth</c:v>
                </c:pt>
                <c:pt idx="25">
                  <c:v>Pop</c:v>
                </c:pt>
                <c:pt idx="26">
                  <c:v>Romantic</c:v>
                </c:pt>
                <c:pt idx="27">
                  <c:v>Romantic - Duet</c:v>
                </c:pt>
                <c:pt idx="28">
                  <c:v>Romantic - Pop</c:v>
                </c:pt>
                <c:pt idx="29">
                  <c:v>Romantic - Sad</c:v>
                </c:pt>
                <c:pt idx="30">
                  <c:v>Romantic (Love)</c:v>
                </c:pt>
                <c:pt idx="31">
                  <c:v>Romantic, Melody</c:v>
                </c:pt>
                <c:pt idx="32">
                  <c:v>Romantic-Pop</c:v>
                </c:pt>
                <c:pt idx="33">
                  <c:v>Sad</c:v>
                </c:pt>
                <c:pt idx="34">
                  <c:v>Sad, Melody</c:v>
                </c:pt>
                <c:pt idx="35">
                  <c:v>Theme</c:v>
                </c:pt>
                <c:pt idx="36">
                  <c:v>Theme/Entry song</c:v>
                </c:pt>
                <c:pt idx="37">
                  <c:v>Traditional</c:v>
                </c:pt>
                <c:pt idx="38">
                  <c:v>Youth, Romantic</c:v>
                </c:pt>
                <c:pt idx="39">
                  <c:v>Youth/College vibe</c:v>
                </c:pt>
              </c:strCache>
            </c:strRef>
          </c:cat>
          <c:val>
            <c:numRef>
              <c:f>Sheet14!$B$4:$B$44</c:f>
              <c:numCache>
                <c:formatCode>General</c:formatCode>
                <c:ptCount val="40"/>
                <c:pt idx="0">
                  <c:v>7</c:v>
                </c:pt>
                <c:pt idx="1">
                  <c:v>1</c:v>
                </c:pt>
                <c:pt idx="2">
                  <c:v>2</c:v>
                </c:pt>
                <c:pt idx="3">
                  <c:v>1</c:v>
                </c:pt>
                <c:pt idx="4">
                  <c:v>1</c:v>
                </c:pt>
                <c:pt idx="5">
                  <c:v>3</c:v>
                </c:pt>
                <c:pt idx="6">
                  <c:v>1</c:v>
                </c:pt>
                <c:pt idx="7">
                  <c:v>1</c:v>
                </c:pt>
                <c:pt idx="8">
                  <c:v>1</c:v>
                </c:pt>
                <c:pt idx="9">
                  <c:v>1</c:v>
                </c:pt>
                <c:pt idx="10">
                  <c:v>6</c:v>
                </c:pt>
                <c:pt idx="11">
                  <c:v>4</c:v>
                </c:pt>
                <c:pt idx="12">
                  <c:v>2</c:v>
                </c:pt>
                <c:pt idx="13">
                  <c:v>8</c:v>
                </c:pt>
                <c:pt idx="14">
                  <c:v>8</c:v>
                </c:pt>
                <c:pt idx="15">
                  <c:v>2</c:v>
                </c:pt>
                <c:pt idx="16">
                  <c:v>1</c:v>
                </c:pt>
                <c:pt idx="17">
                  <c:v>5</c:v>
                </c:pt>
                <c:pt idx="18">
                  <c:v>1</c:v>
                </c:pt>
                <c:pt idx="19">
                  <c:v>2</c:v>
                </c:pt>
                <c:pt idx="20">
                  <c:v>3</c:v>
                </c:pt>
                <c:pt idx="21">
                  <c:v>2</c:v>
                </c:pt>
                <c:pt idx="22">
                  <c:v>1</c:v>
                </c:pt>
                <c:pt idx="23">
                  <c:v>1</c:v>
                </c:pt>
                <c:pt idx="24">
                  <c:v>1</c:v>
                </c:pt>
                <c:pt idx="25">
                  <c:v>12</c:v>
                </c:pt>
                <c:pt idx="26">
                  <c:v>21</c:v>
                </c:pt>
                <c:pt idx="27">
                  <c:v>15</c:v>
                </c:pt>
                <c:pt idx="28">
                  <c:v>1</c:v>
                </c:pt>
                <c:pt idx="29">
                  <c:v>2</c:v>
                </c:pt>
                <c:pt idx="30">
                  <c:v>32</c:v>
                </c:pt>
                <c:pt idx="31">
                  <c:v>2</c:v>
                </c:pt>
                <c:pt idx="32">
                  <c:v>2</c:v>
                </c:pt>
                <c:pt idx="33">
                  <c:v>13</c:v>
                </c:pt>
                <c:pt idx="34">
                  <c:v>1</c:v>
                </c:pt>
                <c:pt idx="35">
                  <c:v>2</c:v>
                </c:pt>
                <c:pt idx="36">
                  <c:v>2</c:v>
                </c:pt>
                <c:pt idx="37">
                  <c:v>1</c:v>
                </c:pt>
                <c:pt idx="38">
                  <c:v>1</c:v>
                </c:pt>
                <c:pt idx="39">
                  <c:v>2</c:v>
                </c:pt>
              </c:numCache>
            </c:numRef>
          </c:val>
          <c:extLst>
            <c:ext xmlns:c16="http://schemas.microsoft.com/office/drawing/2014/chart" uri="{C3380CC4-5D6E-409C-BE32-E72D297353CC}">
              <c16:uniqueId val="{00000050-1471-4206-8FB2-0C0F98777D6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[music-metadata-da.xlsx]Sheet14!PivotTable19</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Sheet14!$B$46</c:f>
              <c:strCache>
                <c:ptCount val="1"/>
                <c:pt idx="0">
                  <c:v>Total</c:v>
                </c:pt>
              </c:strCache>
            </c:strRef>
          </c:tx>
          <c:spPr>
            <a:solidFill>
              <a:schemeClr val="accent1"/>
            </a:solidFill>
            <a:ln>
              <a:noFill/>
            </a:ln>
            <a:effectLst/>
            <a:sp3d/>
          </c:spPr>
          <c:invertIfNegative val="0"/>
          <c:cat>
            <c:strRef>
              <c:f>Sheet14!$A$47:$A$48</c:f>
              <c:strCache>
                <c:ptCount val="1"/>
                <c:pt idx="0">
                  <c:v>Tamil</c:v>
                </c:pt>
              </c:strCache>
            </c:strRef>
          </c:cat>
          <c:val>
            <c:numRef>
              <c:f>Sheet14!$B$47:$B$48</c:f>
              <c:numCache>
                <c:formatCode>General</c:formatCode>
                <c:ptCount val="1"/>
                <c:pt idx="0">
                  <c:v>1</c:v>
                </c:pt>
              </c:numCache>
            </c:numRef>
          </c:val>
          <c:extLst>
            <c:ext xmlns:c16="http://schemas.microsoft.com/office/drawing/2014/chart" uri="{C3380CC4-5D6E-409C-BE32-E72D297353CC}">
              <c16:uniqueId val="{00000000-2A79-408A-98F6-150243B83EED}"/>
            </c:ext>
          </c:extLst>
        </c:ser>
        <c:dLbls>
          <c:showLegendKey val="0"/>
          <c:showVal val="0"/>
          <c:showCatName val="0"/>
          <c:showSerName val="0"/>
          <c:showPercent val="0"/>
          <c:showBubbleSize val="0"/>
        </c:dLbls>
        <c:gapWidth val="150"/>
        <c:shape val="box"/>
        <c:axId val="927682000"/>
        <c:axId val="927683440"/>
        <c:axId val="0"/>
      </c:bar3DChart>
      <c:catAx>
        <c:axId val="92768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83440"/>
        <c:crosses val="autoZero"/>
        <c:auto val="1"/>
        <c:lblAlgn val="ctr"/>
        <c:lblOffset val="100"/>
        <c:noMultiLvlLbl val="0"/>
      </c:catAx>
      <c:valAx>
        <c:axId val="92768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[music-metadata-da.xlsx]Sheet14!PivotTable21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Sheet14!$B$50</c:f>
              <c:strCache>
                <c:ptCount val="1"/>
                <c:pt idx="0">
                  <c:v>Total</c:v>
                </c:pt>
              </c:strCache>
            </c:strRef>
          </c:tx>
          <c:spPr>
            <a:solidFill>
              <a:schemeClr val="accent1"/>
            </a:solidFill>
            <a:ln>
              <a:noFill/>
            </a:ln>
            <a:effectLst/>
            <a:sp3d/>
          </c:spPr>
          <c:invertIfNegative val="0"/>
          <c:cat>
            <c:strRef>
              <c:f>Sheet14!$A$51:$A$133</c:f>
              <c:strCache>
                <c:ptCount val="82"/>
                <c:pt idx="0">
                  <c:v>3</c:v>
                </c:pt>
                <c:pt idx="1">
                  <c:v>(MAD)2</c:v>
                </c:pt>
                <c:pt idx="2">
                  <c:v>1 - Nenokkadine</c:v>
                </c:pt>
                <c:pt idx="3">
                  <c:v>100% Love</c:v>
                </c:pt>
                <c:pt idx="4">
                  <c:v>2 States</c:v>
                </c:pt>
                <c:pt idx="5">
                  <c:v>2.0 (Tamil)</c:v>
                </c:pt>
                <c:pt idx="6">
                  <c:v>24 (Tamil)</c:v>
                </c:pt>
                <c:pt idx="7">
                  <c:v>3 Idiots</c:v>
                </c:pt>
                <c:pt idx="8">
                  <c:v>7/G Brundhavana Colony</c:v>
                </c:pt>
                <c:pt idx="9">
                  <c:v>7aum Arivu</c:v>
                </c:pt>
                <c:pt idx="10">
                  <c:v>7th Sense</c:v>
                </c:pt>
                <c:pt idx="11">
                  <c:v>A1 Express</c:v>
                </c:pt>
                <c:pt idx="12">
                  <c:v>Aadhavan</c:v>
                </c:pt>
                <c:pt idx="13">
                  <c:v>Aadu Magadra Bujji</c:v>
                </c:pt>
                <c:pt idx="14">
                  <c:v>Aagadu</c:v>
                </c:pt>
                <c:pt idx="15">
                  <c:v>Aambala</c:v>
                </c:pt>
                <c:pt idx="16">
                  <c:v>Aata</c:v>
                </c:pt>
                <c:pt idx="17">
                  <c:v>Aavesham</c:v>
                </c:pt>
                <c:pt idx="18">
                  <c:v>Agent</c:v>
                </c:pt>
                <c:pt idx="19">
                  <c:v>AK - Ayyappannum Koshiyum</c:v>
                </c:pt>
                <c:pt idx="20">
                  <c:v>Akhil - The Power of Jua</c:v>
                </c:pt>
                <c:pt idx="21">
                  <c:v>Animal (Telugu)</c:v>
                </c:pt>
                <c:pt idx="22">
                  <c:v>Anjaan</c:v>
                </c:pt>
                <c:pt idx="23">
                  <c:v>Aparichithudu</c:v>
                </c:pt>
                <c:pt idx="24">
                  <c:v>Aranmanai 4</c:v>
                </c:pt>
                <c:pt idx="25">
                  <c:v>Athadu</c:v>
                </c:pt>
                <c:pt idx="26">
                  <c:v>Baaghi</c:v>
                </c:pt>
                <c:pt idx="27">
                  <c:v>Baaghi 2</c:v>
                </c:pt>
                <c:pt idx="28">
                  <c:v>Baahubali - The Beginning</c:v>
                </c:pt>
                <c:pt idx="29">
                  <c:v>Baby</c:v>
                </c:pt>
                <c:pt idx="30">
                  <c:v>Badrenath</c:v>
                </c:pt>
                <c:pt idx="31">
                  <c:v>Balloon</c:v>
                </c:pt>
                <c:pt idx="32">
                  <c:v>Beast</c:v>
                </c:pt>
                <c:pt idx="33">
                  <c:v>Bhai</c:v>
                </c:pt>
                <c:pt idx="34">
                  <c:v>Bharat</c:v>
                </c:pt>
                <c:pt idx="35">
                  <c:v>Biriyani</c:v>
                </c:pt>
                <c:pt idx="36">
                  <c:v>Boss</c:v>
                </c:pt>
                <c:pt idx="37">
                  <c:v>Brahmastra</c:v>
                </c:pt>
                <c:pt idx="38">
                  <c:v>Chennai Express</c:v>
                </c:pt>
                <c:pt idx="39">
                  <c:v>Chhalaang</c:v>
                </c:pt>
                <c:pt idx="40">
                  <c:v>Chhichhore</c:v>
                </c:pt>
                <c:pt idx="41">
                  <c:v>Chura Liya</c:v>
                </c:pt>
                <c:pt idx="42">
                  <c:v>Cirkus</c:v>
                </c:pt>
                <c:pt idx="43">
                  <c:v>Cocktail</c:v>
                </c:pt>
                <c:pt idx="44">
                  <c:v>Commando 3</c:v>
                </c:pt>
                <c:pt idx="45">
                  <c:v>Coolie</c:v>
                </c:pt>
                <c:pt idx="46">
                  <c:v>Creature 3D</c:v>
                </c:pt>
                <c:pt idx="47">
                  <c:v>Custody</c:v>
                </c:pt>
                <c:pt idx="48">
                  <c:v>Dhoom</c:v>
                </c:pt>
                <c:pt idx="49">
                  <c:v>Dhoom: 2</c:v>
                </c:pt>
                <c:pt idx="50">
                  <c:v>Dhurandhar</c:v>
                </c:pt>
                <c:pt idx="51">
                  <c:v>Dil Galti Kar Baitha Hai</c:v>
                </c:pt>
                <c:pt idx="52">
                  <c:v>Enemy</c:v>
                </c:pt>
                <c:pt idx="53">
                  <c:v>Enthiran</c:v>
                </c:pt>
                <c:pt idx="54">
                  <c:v>Ghajini</c:v>
                </c:pt>
                <c:pt idx="55">
                  <c:v>Housefull 5</c:v>
                </c:pt>
                <c:pt idx="56">
                  <c:v>Iru Mugan</c:v>
                </c:pt>
                <c:pt idx="57">
                  <c:v>Jeans</c:v>
                </c:pt>
                <c:pt idx="58">
                  <c:v>Kabali</c:v>
                </c:pt>
                <c:pt idx="59">
                  <c:v>Kanguva</c:v>
                </c:pt>
                <c:pt idx="60">
                  <c:v>Lokah Chapter 1: Chandra</c:v>
                </c:pt>
                <c:pt idx="61">
                  <c:v>Love Today</c:v>
                </c:pt>
                <c:pt idx="62">
                  <c:v>Lucifer</c:v>
                </c:pt>
                <c:pt idx="63">
                  <c:v>Maari 2</c:v>
                </c:pt>
                <c:pt idx="64">
                  <c:v>Manmadhan</c:v>
                </c:pt>
                <c:pt idx="65">
                  <c:v>Narivetta</c:v>
                </c:pt>
                <c:pt idx="66">
                  <c:v>Pichaikkaran 2</c:v>
                </c:pt>
                <c:pt idx="67">
                  <c:v>Premalu</c:v>
                </c:pt>
                <c:pt idx="68">
                  <c:v>Prince</c:v>
                </c:pt>
                <c:pt idx="69">
                  <c:v>Pushpa - The Rise (Part - 01)</c:v>
                </c:pt>
                <c:pt idx="70">
                  <c:v>Shershaah</c:v>
                </c:pt>
                <c:pt idx="71">
                  <c:v>Tadap</c:v>
                </c:pt>
                <c:pt idx="72">
                  <c:v>Teri Baaton Mein Aisa Uljha Jiya</c:v>
                </c:pt>
                <c:pt idx="73">
                  <c:v>Thallumaala</c:v>
                </c:pt>
                <c:pt idx="74">
                  <c:v>Thank God</c:v>
                </c:pt>
                <c:pt idx="75">
                  <c:v>The Body</c:v>
                </c:pt>
                <c:pt idx="76">
                  <c:v>Tu Jhoothi Main Makkaar</c:v>
                </c:pt>
                <c:pt idx="77">
                  <c:v>Tutak Tutak Tutiya</c:v>
                </c:pt>
                <c:pt idx="78">
                  <c:v>Wajah Tum Ho</c:v>
                </c:pt>
                <c:pt idx="79">
                  <c:v>War</c:v>
                </c:pt>
                <c:pt idx="80">
                  <c:v>War 2</c:v>
                </c:pt>
                <c:pt idx="81">
                  <c:v>Zanjeer</c:v>
                </c:pt>
              </c:strCache>
            </c:strRef>
          </c:cat>
          <c:val>
            <c:numRef>
              <c:f>Sheet14!$B$51:$B$133</c:f>
              <c:numCache>
                <c:formatCode>General</c:formatCode>
                <c:ptCount val="82"/>
                <c:pt idx="0">
                  <c:v>6</c:v>
                </c:pt>
                <c:pt idx="1">
                  <c:v>1</c:v>
                </c:pt>
                <c:pt idx="2">
                  <c:v>3</c:v>
                </c:pt>
                <c:pt idx="3">
                  <c:v>3</c:v>
                </c:pt>
                <c:pt idx="4">
                  <c:v>1</c:v>
                </c:pt>
                <c:pt idx="5">
                  <c:v>1</c:v>
                </c:pt>
                <c:pt idx="6">
                  <c:v>4</c:v>
                </c:pt>
                <c:pt idx="7">
                  <c:v>1</c:v>
                </c:pt>
                <c:pt idx="8">
                  <c:v>4</c:v>
                </c:pt>
                <c:pt idx="9">
                  <c:v>3</c:v>
                </c:pt>
                <c:pt idx="10">
                  <c:v>3</c:v>
                </c:pt>
                <c:pt idx="11">
                  <c:v>2</c:v>
                </c:pt>
                <c:pt idx="12">
                  <c:v>4</c:v>
                </c:pt>
                <c:pt idx="13">
                  <c:v>1</c:v>
                </c:pt>
                <c:pt idx="14">
                  <c:v>2</c:v>
                </c:pt>
                <c:pt idx="15">
                  <c:v>3</c:v>
                </c:pt>
                <c:pt idx="16">
                  <c:v>2</c:v>
                </c:pt>
                <c:pt idx="17">
                  <c:v>5</c:v>
                </c:pt>
                <c:pt idx="18">
                  <c:v>1</c:v>
                </c:pt>
                <c:pt idx="19">
                  <c:v>3</c:v>
                </c:pt>
                <c:pt idx="20">
                  <c:v>4</c:v>
                </c:pt>
                <c:pt idx="21">
                  <c:v>2</c:v>
                </c:pt>
                <c:pt idx="22">
                  <c:v>1</c:v>
                </c:pt>
                <c:pt idx="23">
                  <c:v>2</c:v>
                </c:pt>
                <c:pt idx="24">
                  <c:v>1</c:v>
                </c:pt>
                <c:pt idx="25">
                  <c:v>3</c:v>
                </c:pt>
                <c:pt idx="26">
                  <c:v>1</c:v>
                </c:pt>
                <c:pt idx="27">
                  <c:v>2</c:v>
                </c:pt>
                <c:pt idx="28">
                  <c:v>5</c:v>
                </c:pt>
                <c:pt idx="29">
                  <c:v>1</c:v>
                </c:pt>
                <c:pt idx="30">
                  <c:v>1</c:v>
                </c:pt>
                <c:pt idx="31">
                  <c:v>1</c:v>
                </c:pt>
                <c:pt idx="32">
                  <c:v>1</c:v>
                </c:pt>
                <c:pt idx="33">
                  <c:v>1</c:v>
                </c:pt>
                <c:pt idx="34">
                  <c:v>1</c:v>
                </c:pt>
                <c:pt idx="35">
                  <c:v>1</c:v>
                </c:pt>
                <c:pt idx="36">
                  <c:v>2</c:v>
                </c:pt>
                <c:pt idx="37">
                  <c:v>3</c:v>
                </c:pt>
                <c:pt idx="38">
                  <c:v>1</c:v>
                </c:pt>
                <c:pt idx="39">
                  <c:v>1</c:v>
                </c:pt>
                <c:pt idx="40">
                  <c:v>2</c:v>
                </c:pt>
                <c:pt idx="41">
                  <c:v>1</c:v>
                </c:pt>
                <c:pt idx="42">
                  <c:v>2</c:v>
                </c:pt>
                <c:pt idx="43">
                  <c:v>2</c:v>
                </c:pt>
                <c:pt idx="44">
                  <c:v>1</c:v>
                </c:pt>
                <c:pt idx="45">
                  <c:v>1</c:v>
                </c:pt>
                <c:pt idx="46">
                  <c:v>1</c:v>
                </c:pt>
                <c:pt idx="47">
                  <c:v>2</c:v>
                </c:pt>
                <c:pt idx="48">
                  <c:v>1</c:v>
                </c:pt>
                <c:pt idx="49">
                  <c:v>2</c:v>
                </c:pt>
                <c:pt idx="50">
                  <c:v>3</c:v>
                </c:pt>
                <c:pt idx="51">
                  <c:v>1</c:v>
                </c:pt>
                <c:pt idx="52">
                  <c:v>2</c:v>
                </c:pt>
                <c:pt idx="53">
                  <c:v>4</c:v>
                </c:pt>
                <c:pt idx="54">
                  <c:v>3</c:v>
                </c:pt>
                <c:pt idx="55">
                  <c:v>1</c:v>
                </c:pt>
                <c:pt idx="56">
                  <c:v>3</c:v>
                </c:pt>
                <c:pt idx="57">
                  <c:v>2</c:v>
                </c:pt>
                <c:pt idx="58">
                  <c:v>2</c:v>
                </c:pt>
                <c:pt idx="59">
                  <c:v>1</c:v>
                </c:pt>
                <c:pt idx="60">
                  <c:v>1</c:v>
                </c:pt>
                <c:pt idx="61">
                  <c:v>2</c:v>
                </c:pt>
                <c:pt idx="62">
                  <c:v>2</c:v>
                </c:pt>
                <c:pt idx="63">
                  <c:v>1</c:v>
                </c:pt>
                <c:pt idx="64">
                  <c:v>1</c:v>
                </c:pt>
                <c:pt idx="65">
                  <c:v>1</c:v>
                </c:pt>
                <c:pt idx="66">
                  <c:v>3</c:v>
                </c:pt>
                <c:pt idx="67">
                  <c:v>4</c:v>
                </c:pt>
                <c:pt idx="68">
                  <c:v>1</c:v>
                </c:pt>
                <c:pt idx="69">
                  <c:v>5</c:v>
                </c:pt>
                <c:pt idx="70">
                  <c:v>1</c:v>
                </c:pt>
                <c:pt idx="71">
                  <c:v>3</c:v>
                </c:pt>
                <c:pt idx="72">
                  <c:v>3</c:v>
                </c:pt>
                <c:pt idx="73">
                  <c:v>9</c:v>
                </c:pt>
                <c:pt idx="74">
                  <c:v>1</c:v>
                </c:pt>
                <c:pt idx="75">
                  <c:v>3</c:v>
                </c:pt>
                <c:pt idx="76">
                  <c:v>1</c:v>
                </c:pt>
                <c:pt idx="77">
                  <c:v>2</c:v>
                </c:pt>
                <c:pt idx="78">
                  <c:v>1</c:v>
                </c:pt>
                <c:pt idx="79">
                  <c:v>1</c:v>
                </c:pt>
                <c:pt idx="80">
                  <c:v>2</c:v>
                </c:pt>
                <c:pt idx="81">
                  <c:v>2</c:v>
                </c:pt>
              </c:numCache>
            </c:numRef>
          </c:val>
          <c:extLst>
            <c:ext xmlns:c16="http://schemas.microsoft.com/office/drawing/2014/chart" uri="{C3380CC4-5D6E-409C-BE32-E72D297353CC}">
              <c16:uniqueId val="{00000000-DADD-4C36-AA08-11549A94139E}"/>
            </c:ext>
          </c:extLst>
        </c:ser>
        <c:dLbls>
          <c:showLegendKey val="0"/>
          <c:showVal val="0"/>
          <c:showCatName val="0"/>
          <c:showSerName val="0"/>
          <c:showPercent val="0"/>
          <c:showBubbleSize val="0"/>
        </c:dLbls>
        <c:gapWidth val="150"/>
        <c:shape val="box"/>
        <c:axId val="927677200"/>
        <c:axId val="927680080"/>
        <c:axId val="0"/>
      </c:bar3DChart>
      <c:catAx>
        <c:axId val="92767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80080"/>
        <c:crosses val="autoZero"/>
        <c:auto val="1"/>
        <c:lblAlgn val="ctr"/>
        <c:lblOffset val="100"/>
        <c:noMultiLvlLbl val="0"/>
      </c:catAx>
      <c:valAx>
        <c:axId val="92768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7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[music-metadata-da.xlsx]Sheet14!PivotTable22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Sheet14!$B$135</c:f>
              <c:strCache>
                <c:ptCount val="1"/>
                <c:pt idx="0">
                  <c:v>Total</c:v>
                </c:pt>
              </c:strCache>
            </c:strRef>
          </c:tx>
          <c:spPr>
            <a:solidFill>
              <a:schemeClr val="accent1"/>
            </a:solidFill>
            <a:ln>
              <a:noFill/>
            </a:ln>
            <a:effectLst/>
            <a:sp3d/>
          </c:spPr>
          <c:invertIfNegative val="0"/>
          <c:cat>
            <c:strRef>
              <c:f>Sheet14!$A$136:$A$307</c:f>
              <c:strCache>
                <c:ptCount val="171"/>
                <c:pt idx="0">
                  <c:v>A.R. Rahman, Arijit Singh, Chinmayi Sripada, Madhan Karky Vairamuthu</c:v>
                </c:pt>
                <c:pt idx="1">
                  <c:v>A.R. Rahman, Benny Dayal, Vairamuthu</c:v>
                </c:pt>
                <c:pt idx="2">
                  <c:v>A.R. Rahman, Haricharan Seshadri, Shashaa Tirupati, Vairamuthu</c:v>
                </c:pt>
                <c:pt idx="3">
                  <c:v>A.R. Rahman, Hariharan, Sadhana Sargam, Benny Dayal, Naresh Iyer</c:v>
                </c:pt>
                <c:pt idx="4">
                  <c:v>A.R. Rahman, Javed Ali, Chinmayi Sripada, Pa. Vijay</c:v>
                </c:pt>
                <c:pt idx="5">
                  <c:v>A.R. Rahman, Kash n' Krissy, Madhan Karky Vairamuthu</c:v>
                </c:pt>
                <c:pt idx="6">
                  <c:v>A.R. Rahman, P. Unnikrishnan, S.P.B. Pallavi, Vairamuthu</c:v>
                </c:pt>
                <c:pt idx="7">
                  <c:v>A.R. Rahman, P. Unnikrishnan, Sujatha Mohan, Vairamuthu</c:v>
                </c:pt>
                <c:pt idx="8">
                  <c:v>A.R. Rahman, Sid Sriram, Sanah Moidutty, Jonita Gandhi, Madhan Karky Vairamuthu</c:v>
                </c:pt>
                <c:pt idx="9">
                  <c:v>A.R. Rahman, Sid Sriram, Shashaa Tirupati, Madhan Karky Vairamuthu</c:v>
                </c:pt>
                <c:pt idx="10">
                  <c:v>A.R. Rahman, Vijay Prakash, Shreya Ghoshal, Vairamuthu</c:v>
                </c:pt>
                <c:pt idx="11">
                  <c:v>Abhijit Vaghani,Kalyanji-Anandji, Arijit Singh, Tulsi Kumar, Neuman Pinto, Rajendra Krishna</c:v>
                </c:pt>
                <c:pt idx="12">
                  <c:v>Adnan Sami</c:v>
                </c:pt>
                <c:pt idx="13">
                  <c:v>Ajesh Ashok</c:v>
                </c:pt>
                <c:pt idx="14">
                  <c:v>Andrea Jeremiah</c:v>
                </c:pt>
                <c:pt idx="15">
                  <c:v>Anirudh Ravichander, Ajesh Ashok</c:v>
                </c:pt>
                <c:pt idx="16">
                  <c:v>Anirudh Ravichander, Dhanush</c:v>
                </c:pt>
                <c:pt idx="17">
                  <c:v>Anirudh Ravichander, Jonita Gandhi, Sivakarthikeyan</c:v>
                </c:pt>
                <c:pt idx="18">
                  <c:v>Anirudh Ravichander, Mohit Chauhan</c:v>
                </c:pt>
                <c:pt idx="19">
                  <c:v>Anirudh Ravichander, Sublahshini, Asal Kolaar, Vishnu Edavan</c:v>
                </c:pt>
                <c:pt idx="20">
                  <c:v>Ankit Tiwari, Shruti Pathak</c:v>
                </c:pt>
                <c:pt idx="21">
                  <c:v>Anup Rubens, Mohit Chauhan, Shekhar Chandra</c:v>
                </c:pt>
                <c:pt idx="22">
                  <c:v>Anup Rubens, Rahul Pandey</c:v>
                </c:pt>
                <c:pt idx="23">
                  <c:v>Anup Rubens, Rahul Rido, Sharanya Srinivas, K.G. Ranjith</c:v>
                </c:pt>
                <c:pt idx="24">
                  <c:v>Arijit Singh</c:v>
                </c:pt>
                <c:pt idx="25">
                  <c:v>Arijit Singh, Amitabh Bhattacharya, Jonita Gandhi</c:v>
                </c:pt>
                <c:pt idx="26">
                  <c:v>Arijit Singh, Chinmayi Sripada</c:v>
                </c:pt>
                <c:pt idx="27">
                  <c:v>Arijit Singh, Nikhita Gandhi</c:v>
                </c:pt>
                <c:pt idx="28">
                  <c:v>Arijit Singh, Shilpa Rao</c:v>
                </c:pt>
                <c:pt idx="29">
                  <c:v>Arko, Arijit Singh, Manoj Muntashir</c:v>
                </c:pt>
                <c:pt idx="30">
                  <c:v>Arko, Tulsi Kumar, Neha Kakkar</c:v>
                </c:pt>
                <c:pt idx="31">
                  <c:v>Armaan Malik, Shraddha Kapoor</c:v>
                </c:pt>
                <c:pt idx="32">
                  <c:v>Asees Kaur, Dev Negi, Panchhi Jalonvi</c:v>
                </c:pt>
                <c:pt idx="33">
                  <c:v>Bheems Ceciroleo, Swathi Reddy UK</c:v>
                </c:pt>
                <c:pt idx="34">
                  <c:v>Chirrantan Bhatt, Mika Singh, Talia Bentson</c:v>
                </c:pt>
                <c:pt idx="35">
                  <c:v>Chirrantan Bhatt, Wajhi Farooki, Palak Muchhal</c:v>
                </c:pt>
                <c:pt idx="36">
                  <c:v>Dabzee, SA, MHR</c:v>
                </c:pt>
                <c:pt idx="37">
                  <c:v>David Simon, Rita Thyagarajan</c:v>
                </c:pt>
                <c:pt idx="38">
                  <c:v>Devi Sri Prasad</c:v>
                </c:pt>
                <c:pt idx="39">
                  <c:v>Devi Sri Prasad, Lavita Lobo, Viveka</c:v>
                </c:pt>
                <c:pt idx="40">
                  <c:v>Devi Sri Prasad, Papon, Shreya Ghoshal</c:v>
                </c:pt>
                <c:pt idx="41">
                  <c:v>Devi Sri Prasad, Piyush Kapoor</c:v>
                </c:pt>
                <c:pt idx="42">
                  <c:v>Farhad Bhiwandiwala</c:v>
                </c:pt>
                <c:pt idx="43">
                  <c:v>Harini</c:v>
                </c:pt>
                <c:pt idx="44">
                  <c:v>Harish Raghavendra, Srimathumitha, Ustad Sultan Khan</c:v>
                </c:pt>
                <c:pt idx="45">
                  <c:v>Harris Jayaraj, Annupamaa Krishnaswami, Thamarai</c:v>
                </c:pt>
                <c:pt idx="46">
                  <c:v>Harris Jayaraj, Benny Dayal, Jerry John, Suchitra, Roshan, Pa. Vijay</c:v>
                </c:pt>
                <c:pt idx="47">
                  <c:v>Harris Jayaraj, Benny Dayal, Na. Muthukumar</c:v>
                </c:pt>
                <c:pt idx="48">
                  <c:v>Harris Jayaraj, Christopher Stanley, Abhay Jodhpurkar, Ujjayinee Roy, Madhan Karky Vairamuthu</c:v>
                </c:pt>
                <c:pt idx="49">
                  <c:v>Harris Jayaraj, Karthik, Harini, Dr. Burn, Benny Dayal, Maya, Pa. Vijay</c:v>
                </c:pt>
                <c:pt idx="50">
                  <c:v>Harris Jayaraj, Karthik, Megha, Na. Muthukumar</c:v>
                </c:pt>
                <c:pt idx="51">
                  <c:v>Harris Jayaraj, Karthik, Thamarai</c:v>
                </c:pt>
                <c:pt idx="52">
                  <c:v>Harris Jayaraj, Karthik, Vijay Prakash, Pop Shalini, Shruti Haasan, Na. Muthukumar</c:v>
                </c:pt>
                <c:pt idx="53">
                  <c:v>Harris Jayaraj, N.C. Karunya, Ramya NSK, Thamarai</c:v>
                </c:pt>
                <c:pt idx="54">
                  <c:v>Harris Jayaraj, Nakkhul Jaidev, Mathangi Jagdish, Vaali</c:v>
                </c:pt>
                <c:pt idx="55">
                  <c:v>Harris Jayaraj, P. Unnikrishnan, Chinmayi Sripada, Megha, Kabilan</c:v>
                </c:pt>
                <c:pt idx="56">
                  <c:v>Harris Jayaraj, Shail Hada, Sudha Raghunathan, Andrea Jeremiah, Thamarai</c:v>
                </c:pt>
                <c:pt idx="57">
                  <c:v>Harris Jayaraj, Tippu, Pravin Saivi, Srimathumitha, Madhan Karky Vairamuthu</c:v>
                </c:pt>
                <c:pt idx="58">
                  <c:v>Hiphop Tamizha</c:v>
                </c:pt>
                <c:pt idx="59">
                  <c:v>Hiphop Tamizha, Aditya Iyengar</c:v>
                </c:pt>
                <c:pt idx="60">
                  <c:v>Hiphop Tamizha, Kailash Kher, Vishnupriya Ravi &amp; Maria Roe Vincent</c:v>
                </c:pt>
                <c:pt idx="61">
                  <c:v>Hiphop Tamizha, Kharesma Ravichandran, Srinisha Jayaseelan, Vignesh Srikanth</c:v>
                </c:pt>
                <c:pt idx="62">
                  <c:v>Hiphop Tamizha, Mohit Chauhan, Amrita Shekar &amp; Nirthya Maria Andrews</c:v>
                </c:pt>
                <c:pt idx="63">
                  <c:v>Hiphop Tamizha, Rahul Sipligunj</c:v>
                </c:pt>
                <c:pt idx="64">
                  <c:v>Ilaiyaraaja, Premgi Amaran, M.M. Manasi, Muthamil</c:v>
                </c:pt>
                <c:pt idx="65">
                  <c:v>Indravathi Chauhan</c:v>
                </c:pt>
                <c:pt idx="66">
                  <c:v>Inno Genga</c:v>
                </c:pt>
                <c:pt idx="67">
                  <c:v>Jakes Bejoy, Biju Menon, Prithviraj Sukumaran, Biju Menon, Hari Nayayanan B.K.</c:v>
                </c:pt>
                <c:pt idx="68">
                  <c:v>Jakes Bejoy, Kottakkal Madhu</c:v>
                </c:pt>
                <c:pt idx="69">
                  <c:v>Jakes Bejoy, Nanjiyamma</c:v>
                </c:pt>
                <c:pt idx="70">
                  <c:v>Jakes Bejoy, Sid Sriram, Sithara Krishnakumar</c:v>
                </c:pt>
                <c:pt idx="71">
                  <c:v>Jubin Nautiayal</c:v>
                </c:pt>
                <c:pt idx="72">
                  <c:v>Jubin Nautiyal, Asees Kaur</c:v>
                </c:pt>
                <c:pt idx="73">
                  <c:v>Jubin Nautiyal, Shamir Tandon, Sameer Anjaan</c:v>
                </c:pt>
                <c:pt idx="74">
                  <c:v>K.G. Ranjith, Mahalakshmi Iyer</c:v>
                </c:pt>
                <c:pt idx="75">
                  <c:v>K.G. Ranjith, Sri Charan</c:v>
                </c:pt>
                <c:pt idx="76">
                  <c:v>Karthik</c:v>
                </c:pt>
                <c:pt idx="77">
                  <c:v>Karthik, Bharadwaj</c:v>
                </c:pt>
                <c:pt idx="78">
                  <c:v>Karthik, Damini Bhatla</c:v>
                </c:pt>
                <c:pt idx="79">
                  <c:v>Karthik, K.S. Chithra</c:v>
                </c:pt>
                <c:pt idx="80">
                  <c:v>Karthik, Kavita Krishnamurthy</c:v>
                </c:pt>
                <c:pt idx="81">
                  <c:v>Karthik, M.M. Manasi</c:v>
                </c:pt>
                <c:pt idx="82">
                  <c:v>Karthik, Megha</c:v>
                </c:pt>
                <c:pt idx="83">
                  <c:v>Karthik, Vijay Prakash, Pop Shalini, Rita Thyagarajan</c:v>
                </c:pt>
                <c:pt idx="84">
                  <c:v>KK, Jassie Gift, Sujatha Mohan</c:v>
                </c:pt>
                <c:pt idx="85">
                  <c:v>KK, Sunitha Upadrashta</c:v>
                </c:pt>
                <c:pt idx="86">
                  <c:v>Kunal Ganjawala, Vasundhara Das</c:v>
                </c:pt>
                <c:pt idx="87">
                  <c:v>L.V. Revanth &amp; Sravana Bhargavi</c:v>
                </c:pt>
                <c:pt idx="88">
                  <c:v>Lijo George, DJ Chetas, Nakash Aziz, Dhvani Bhanushali, Jonita Gandhi, Vivek Hariharan, Kumaar, Hari</c:v>
                </c:pt>
                <c:pt idx="89">
                  <c:v>Meet Bros, Shardul Rathod, Jubin Nautiyal, Manoj Muntashir</c:v>
                </c:pt>
                <c:pt idx="90">
                  <c:v>Miss Pooja, Neha Kakkar &amp; Nakash Aziz</c:v>
                </c:pt>
                <c:pt idx="91">
                  <c:v>Mithoon, Tony Kakkar, Arijit Singh</c:v>
                </c:pt>
                <c:pt idx="92">
                  <c:v>Mitraz</c:v>
                </c:pt>
                <c:pt idx="93">
                  <c:v>Mohana Bhogaraju, L.V. Revanth</c:v>
                </c:pt>
                <c:pt idx="94">
                  <c:v>Mounika Yadav</c:v>
                </c:pt>
                <c:pt idx="95">
                  <c:v>Nakash Aziz</c:v>
                </c:pt>
                <c:pt idx="96">
                  <c:v>Nakash Aziz, Manish J. Tipu, Geetsagar, Sreerama Chandra, Amitabh Bhattacharya</c:v>
                </c:pt>
                <c:pt idx="97">
                  <c:v>Nakash Aziz, Neeti Mohan</c:v>
                </c:pt>
                <c:pt idx="98">
                  <c:v>Nikhil D'Souza</c:v>
                </c:pt>
                <c:pt idx="99">
                  <c:v>P. Unnikrishnan, Pop Shalini, Ganga</c:v>
                </c:pt>
                <c:pt idx="100">
                  <c:v>Pritam, Dominique Cerejo, Vishal Dadlani, Sameer</c:v>
                </c:pt>
                <c:pt idx="101">
                  <c:v>Pritam, Sunidhi Chauhan, Sameer</c:v>
                </c:pt>
                <c:pt idx="102">
                  <c:v>Raghav Chaitanya, Pritam Chakraborty, Anantha Sriram</c:v>
                </c:pt>
                <c:pt idx="103">
                  <c:v>Raghav Chaitanya, Varun Jain</c:v>
                </c:pt>
                <c:pt idx="104">
                  <c:v>Rahul Nambiar, Priya Hemesh</c:v>
                </c:pt>
                <c:pt idx="105">
                  <c:v>Ramya Behara, Deepu</c:v>
                </c:pt>
                <c:pt idx="106">
                  <c:v>Roop Kumar Rathod, Shreya Ghoshal</c:v>
                </c:pt>
                <c:pt idx="107">
                  <c:v>S.P. Balasubrahmanyam, Geetha Madhuri</c:v>
                </c:pt>
                <c:pt idx="108">
                  <c:v>S.P. Balasubrahmanyam, Shweta Mohan</c:v>
                </c:pt>
                <c:pt idx="109">
                  <c:v>Sachet Tandon, Parampara Tandon &amp; Irshad Kamil</c:v>
                </c:pt>
                <c:pt idx="110">
                  <c:v>Sachet Tandon, Saaj Bhatt</c:v>
                </c:pt>
                <c:pt idx="111">
                  <c:v>Sajid-Wajid</c:v>
                </c:pt>
                <c:pt idx="112">
                  <c:v>Santhosh Narayanan, Ananthu, Pradeep Kumar, Shweta Mohan, Uma Devi</c:v>
                </c:pt>
                <c:pt idx="113">
                  <c:v>Santhosh Narayanan, Arunraja Kamaraj</c:v>
                </c:pt>
                <c:pt idx="114">
                  <c:v>Shashwat Sachdev, Arijit Singh, Armaan Khan, Irshad Kamil</c:v>
                </c:pt>
                <c:pt idx="115">
                  <c:v>Shashwat Sachdev, Jasmine Sandlas, Madhubanti Bagchi</c:v>
                </c:pt>
                <c:pt idx="116">
                  <c:v>Shashwat Sachdev, Roshan, Shahzad Ali, Subhadeep Das Chowdhury, Armaan Khan, Sahir Ludhianvi, Irshad Kamil</c:v>
                </c:pt>
                <c:pt idx="117">
                  <c:v>Shefali Alvares, Nikhil D'Souza &amp; Javed Bashir</c:v>
                </c:pt>
                <c:pt idx="118">
                  <c:v>Shilpa Rao, Darshan Raval, Shashwat Singh, Charan</c:v>
                </c:pt>
                <c:pt idx="119">
                  <c:v>Shreya Ghoshal, Parry Gripp</c:v>
                </c:pt>
                <c:pt idx="120">
                  <c:v>Shreya Ghoshal, Tushar Joshi</c:v>
                </c:pt>
                <c:pt idx="121">
                  <c:v>Shruti Haasan, Dhanush</c:v>
                </c:pt>
                <c:pt idx="122">
                  <c:v>Shruti Haasan, Simha, Bheems</c:v>
                </c:pt>
                <c:pt idx="123">
                  <c:v>Siddharth Suryanarayan, Sumangali</c:v>
                </c:pt>
                <c:pt idx="124">
                  <c:v>Sivam</c:v>
                </c:pt>
                <c:pt idx="125">
                  <c:v>Sonu Nigam, Swanand Kirkire &amp; Shaan</c:v>
                </c:pt>
                <c:pt idx="126">
                  <c:v>Sooraj Santhosh</c:v>
                </c:pt>
                <c:pt idx="127">
                  <c:v>Sushin Shyam, Dabzee, Vinayak Sasikumar</c:v>
                </c:pt>
                <c:pt idx="128">
                  <c:v>Sushin Shyam, Nazriya Nazim, Vinayak Sasikumar</c:v>
                </c:pt>
                <c:pt idx="129">
                  <c:v>Sushin Shyam, Paal Dabba, Vinayak Sasikumar</c:v>
                </c:pt>
                <c:pt idx="130">
                  <c:v>Sushin Shyam, Pranavam Sasi, Vinayak Sasikumar</c:v>
                </c:pt>
                <c:pt idx="131">
                  <c:v>Sushin Shyam, Vipin Raveendran, Vinayak Sasikumar</c:v>
                </c:pt>
                <c:pt idx="132">
                  <c:v>Talwiinder, Nds, MC Square</c:v>
                </c:pt>
                <c:pt idx="133">
                  <c:v>Thaman S</c:v>
                </c:pt>
                <c:pt idx="134">
                  <c:v>Thaman S, Deepak Blue</c:v>
                </c:pt>
                <c:pt idx="135">
                  <c:v>Thaman S, Divya S. Menon</c:v>
                </c:pt>
                <c:pt idx="136">
                  <c:v>Thaman S, Ravi Teja</c:v>
                </c:pt>
                <c:pt idx="137">
                  <c:v>Thaman S, Sri Vardhini, Aditi Bhavaraju, Satya Yamini, Roshini JKV, Tejaswini</c:v>
                </c:pt>
                <c:pt idx="138">
                  <c:v>The Independers, S. Janaki, Ilaiyaraaja</c:v>
                </c:pt>
                <c:pt idx="139">
                  <c:v>Usha Uthup</c:v>
                </c:pt>
                <c:pt idx="140">
                  <c:v>Vijai Bulganin, Anudeep Devarakonda, Suresh Banisetti</c:v>
                </c:pt>
                <c:pt idx="141">
                  <c:v>Vijay Antony, Kharesma Ravichandran, Arun Bharathi</c:v>
                </c:pt>
                <c:pt idx="142">
                  <c:v>Vijay Antony, Nivas, Arun Bharathi</c:v>
                </c:pt>
                <c:pt idx="143">
                  <c:v>Vijay Antony, Sarath Santhosh, Madhushree, Arun Bharathi</c:v>
                </c:pt>
                <c:pt idx="144">
                  <c:v>Vishal Mishra</c:v>
                </c:pt>
                <c:pt idx="145">
                  <c:v>Vishal Mishra &amp; Arijit Singh</c:v>
                </c:pt>
                <c:pt idx="146">
                  <c:v>Vishnu Vijay, Haricharan Seshadri, Benny Dayal, Salim Kumar, Mu.Ri</c:v>
                </c:pt>
                <c:pt idx="147">
                  <c:v>Vishnu Vijay, Hrithik Jayakish, Neha Girish, Eshaan Sanil, Thejas Krishna</c:v>
                </c:pt>
                <c:pt idx="148">
                  <c:v>Vishnu Vijay, Irfana Hameed, Mu.Ri</c:v>
                </c:pt>
                <c:pt idx="149">
                  <c:v>Vishnu Vijay, Khalid Rahman</c:v>
                </c:pt>
                <c:pt idx="150">
                  <c:v>Vishnu Vijay, Meera Prakash, Sinduri, Gayathry Rajiv</c:v>
                </c:pt>
                <c:pt idx="151">
                  <c:v>Vishnu Vijay, Muhsin Parari, Shenbagaraj, Santhosh Hariharan, Sreeraj, Swathi Das, Austin Dan, Lukman Avaran, Adri Joe, Gokulan, Binu Pappu, Mu.Ri</c:v>
                </c:pt>
                <c:pt idx="152">
                  <c:v>Vishnu Vijay, Shakthisree Gopalan, Tovino Thomas</c:v>
                </c:pt>
                <c:pt idx="153">
                  <c:v>Vishnu Vijay, Suhail Koya, K.G. Markose</c:v>
                </c:pt>
                <c:pt idx="154">
                  <c:v>Vishnu Vijay, Suhail Koya, Kapil Kapilan, Shakthisree Gopalan</c:v>
                </c:pt>
                <c:pt idx="155">
                  <c:v>Vishnu Vijay, Suhail Koya, Kapil Kapilan, Vagu Mazan</c:v>
                </c:pt>
                <c:pt idx="156">
                  <c:v>Vishnu Vijay, Suhail Koya, Sanjith Hegde</c:v>
                </c:pt>
                <c:pt idx="157">
                  <c:v>Vishnu Vijay, Tovino Thomas, Mu.Ri</c:v>
                </c:pt>
                <c:pt idx="158">
                  <c:v>White Noise Collectives, Neeraj Shridhar, Shruti Dhasmana, Som</c:v>
                </c:pt>
                <c:pt idx="159">
                  <c:v>Yo Yo Honey Singh &amp; Lil Golu</c:v>
                </c:pt>
                <c:pt idx="160">
                  <c:v>Yo Yo Honey Singh, Sahil Kaushal &amp; Manoj Yadav</c:v>
                </c:pt>
                <c:pt idx="161">
                  <c:v>Yohani, Jubin Nautiyal, Surya Raghunathan, Tanishk Bagchi, Chamath Sangeeth, Rashmi Virag, Dulan ARX, Mellow D</c:v>
                </c:pt>
                <c:pt idx="162">
                  <c:v>Yuvan Shankar Raja, Asal Kolaar, Arun Kaundinya, Karunkaran, Shri Shivani VP</c:v>
                </c:pt>
                <c:pt idx="163">
                  <c:v>Yuvan Shankar Raja, Benny Dayal, Shweta Pandit, Viveka</c:v>
                </c:pt>
                <c:pt idx="164">
                  <c:v>Yuvan Shankar Raja, Devan Ekambaram, Vaali</c:v>
                </c:pt>
                <c:pt idx="165">
                  <c:v>Yuvan Shankar Raja, Dhanush, Dhee</c:v>
                </c:pt>
                <c:pt idx="166">
                  <c:v>Yuvan Shankar Raja, KK, Pa. Vijay</c:v>
                </c:pt>
                <c:pt idx="167">
                  <c:v>Yuvan Shankar Raja, KK, Siva Ganesh</c:v>
                </c:pt>
                <c:pt idx="168">
                  <c:v>Yuvan Shankar Raja, Pradeep Ranganathan</c:v>
                </c:pt>
                <c:pt idx="169">
                  <c:v>Yuvan Shankar Raja, Priya Jerson, Arunraja Kamaraj</c:v>
                </c:pt>
                <c:pt idx="170">
                  <c:v>Yuvan Shankar Raja, Sid Sriram, Pradeep Ranganathan</c:v>
                </c:pt>
              </c:strCache>
            </c:strRef>
          </c:cat>
          <c:val>
            <c:numRef>
              <c:f>Sheet14!$B$136:$B$307</c:f>
              <c:numCache>
                <c:formatCode>General</c:formatCode>
                <c:ptCount val="17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2</c:v>
                </c:pt>
                <c:pt idx="25">
                  <c:v>2</c:v>
                </c:pt>
                <c:pt idx="26">
                  <c:v>1</c:v>
                </c:pt>
                <c:pt idx="27">
                  <c:v>2</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2</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numCache>
            </c:numRef>
          </c:val>
          <c:extLst>
            <c:ext xmlns:c16="http://schemas.microsoft.com/office/drawing/2014/chart" uri="{C3380CC4-5D6E-409C-BE32-E72D297353CC}">
              <c16:uniqueId val="{00000000-F0EA-4D3F-A688-41AD7DDF6D1D}"/>
            </c:ext>
          </c:extLst>
        </c:ser>
        <c:dLbls>
          <c:showLegendKey val="0"/>
          <c:showVal val="0"/>
          <c:showCatName val="0"/>
          <c:showSerName val="0"/>
          <c:showPercent val="0"/>
          <c:showBubbleSize val="0"/>
        </c:dLbls>
        <c:gapWidth val="150"/>
        <c:shape val="box"/>
        <c:axId val="927682960"/>
        <c:axId val="927678640"/>
        <c:axId val="0"/>
      </c:bar3DChart>
      <c:catAx>
        <c:axId val="92768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78640"/>
        <c:crosses val="autoZero"/>
        <c:auto val="1"/>
        <c:lblAlgn val="ctr"/>
        <c:lblOffset val="100"/>
        <c:noMultiLvlLbl val="0"/>
      </c:catAx>
      <c:valAx>
        <c:axId val="9276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8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[music-metadata-da.xlsx]Sheet14!PivotTable25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Sheet14!$B$309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726-4937-8945-2B26B5D6B2F5}"/>
              </c:ext>
            </c:extLst>
          </c:dPt>
          <c:cat>
            <c:strRef>
              <c:f>Sheet14!$A$310:$A$311</c:f>
              <c:strCache>
                <c:ptCount val="1"/>
                <c:pt idx="0">
                  <c:v>Hit</c:v>
                </c:pt>
              </c:strCache>
            </c:strRef>
          </c:cat>
          <c:val>
            <c:numRef>
              <c:f>Sheet14!$B$310:$B$311</c:f>
              <c:numCache>
                <c:formatCode>General</c:formatCode>
                <c:ptCount val="1"/>
                <c:pt idx="0">
                  <c:v>1</c:v>
                </c:pt>
              </c:numCache>
            </c:numRef>
          </c:val>
          <c:extLst>
            <c:ext xmlns:c16="http://schemas.microsoft.com/office/drawing/2014/chart" uri="{C3380CC4-5D6E-409C-BE32-E72D297353CC}">
              <c16:uniqueId val="{00000002-C726-4937-8945-2B26B5D6B2F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[music-metadata-da.xlsx]Sheet14!PivotTable27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Sheet14!$B$314</c:f>
              <c:strCache>
                <c:ptCount val="1"/>
                <c:pt idx="0">
                  <c:v>Total</c:v>
                </c:pt>
              </c:strCache>
            </c:strRef>
          </c:tx>
          <c:spPr>
            <a:solidFill>
              <a:schemeClr val="accent1"/>
            </a:solidFill>
            <a:ln>
              <a:noFill/>
            </a:ln>
            <a:effectLst/>
            <a:sp3d/>
          </c:spPr>
          <c:invertIfNegative val="0"/>
          <c:cat>
            <c:strRef>
              <c:f>Sheet14!$A$315:$A$316</c:f>
              <c:strCache>
                <c:ptCount val="1"/>
                <c:pt idx="0">
                  <c:v>High</c:v>
                </c:pt>
              </c:strCache>
            </c:strRef>
          </c:cat>
          <c:val>
            <c:numRef>
              <c:f>Sheet14!$B$315:$B$316</c:f>
              <c:numCache>
                <c:formatCode>General</c:formatCode>
                <c:ptCount val="1"/>
                <c:pt idx="0">
                  <c:v>175</c:v>
                </c:pt>
              </c:numCache>
            </c:numRef>
          </c:val>
          <c:extLst>
            <c:ext xmlns:c16="http://schemas.microsoft.com/office/drawing/2014/chart" uri="{C3380CC4-5D6E-409C-BE32-E72D297353CC}">
              <c16:uniqueId val="{00000000-4033-4A88-9A1C-801A499A1C23}"/>
            </c:ext>
          </c:extLst>
        </c:ser>
        <c:dLbls>
          <c:showLegendKey val="0"/>
          <c:showVal val="0"/>
          <c:showCatName val="0"/>
          <c:showSerName val="0"/>
          <c:showPercent val="0"/>
          <c:showBubbleSize val="0"/>
        </c:dLbls>
        <c:gapWidth val="150"/>
        <c:shape val="box"/>
        <c:axId val="1007358800"/>
        <c:axId val="1007357840"/>
        <c:axId val="0"/>
      </c:bar3DChart>
      <c:catAx>
        <c:axId val="1007358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57840"/>
        <c:crosses val="autoZero"/>
        <c:auto val="1"/>
        <c:lblAlgn val="ctr"/>
        <c:lblOffset val="100"/>
        <c:noMultiLvlLbl val="0"/>
      </c:catAx>
      <c:valAx>
        <c:axId val="100735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5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[music-metadata-da.xlsx]Sheet14!PivotTable34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Sheet14!$B$333</c:f>
              <c:strCache>
                <c:ptCount val="1"/>
                <c:pt idx="0">
                  <c:v>Total</c:v>
                </c:pt>
              </c:strCache>
            </c:strRef>
          </c:tx>
          <c:spPr>
            <a:solidFill>
              <a:schemeClr val="accent1"/>
            </a:solidFill>
            <a:ln>
              <a:noFill/>
            </a:ln>
            <a:effectLst/>
            <a:sp3d/>
          </c:spPr>
          <c:invertIfNegative val="0"/>
          <c:cat>
            <c:strRef>
              <c:f>Sheet14!$A$334:$A$344</c:f>
              <c:strCache>
                <c:ptCount val="10"/>
                <c:pt idx="0">
                  <c:v>Yellae Lama</c:v>
                </c:pt>
                <c:pt idx="1">
                  <c:v>Adede Tholiprema</c:v>
                </c:pt>
                <c:pt idx="2">
                  <c:v>Aho Balu</c:v>
                </c:pt>
                <c:pt idx="3">
                  <c:v>Aal Izz Well</c:v>
                </c:pt>
                <c:pt idx="4">
                  <c:v>Adholokam</c:v>
                </c:pt>
                <c:pt idx="5">
                  <c:v>Aavan Jaavan</c:v>
                </c:pt>
                <c:pt idx="6">
                  <c:v>Akhiyaan Gulaab</c:v>
                </c:pt>
                <c:pt idx="7">
                  <c:v>Achacho</c:v>
                </c:pt>
                <c:pt idx="8">
                  <c:v>Aaina</c:v>
                </c:pt>
                <c:pt idx="9">
                  <c:v>Adakachakko</c:v>
                </c:pt>
              </c:strCache>
            </c:strRef>
          </c:cat>
          <c:val>
            <c:numRef>
              <c:f>Sheet14!$B$334:$B$344</c:f>
              <c:numCache>
                <c:formatCode>General</c:formatCode>
                <c:ptCount val="10"/>
                <c:pt idx="0">
                  <c:v>2</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C2D7-4E50-B6A8-71D44D89FB67}"/>
            </c:ext>
          </c:extLst>
        </c:ser>
        <c:dLbls>
          <c:showLegendKey val="0"/>
          <c:showVal val="0"/>
          <c:showCatName val="0"/>
          <c:showSerName val="0"/>
          <c:showPercent val="0"/>
          <c:showBubbleSize val="0"/>
        </c:dLbls>
        <c:gapWidth val="150"/>
        <c:shape val="box"/>
        <c:axId val="931644928"/>
        <c:axId val="931645888"/>
        <c:axId val="0"/>
      </c:bar3DChart>
      <c:catAx>
        <c:axId val="931644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645888"/>
        <c:crosses val="autoZero"/>
        <c:auto val="1"/>
        <c:lblAlgn val="ctr"/>
        <c:lblOffset val="100"/>
        <c:noMultiLvlLbl val="0"/>
      </c:catAx>
      <c:valAx>
        <c:axId val="93164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64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[music-metadata-da.xlsx]Sheet14!PivotTable34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Sheet14!$B$333</c:f>
              <c:strCache>
                <c:ptCount val="1"/>
                <c:pt idx="0">
                  <c:v>Total</c:v>
                </c:pt>
              </c:strCache>
            </c:strRef>
          </c:tx>
          <c:spPr>
            <a:solidFill>
              <a:schemeClr val="accent1"/>
            </a:solidFill>
            <a:ln>
              <a:noFill/>
            </a:ln>
            <a:effectLst/>
            <a:sp3d/>
          </c:spPr>
          <c:invertIfNegative val="0"/>
          <c:cat>
            <c:strRef>
              <c:f>Sheet14!$A$334:$A$344</c:f>
              <c:strCache>
                <c:ptCount val="10"/>
                <c:pt idx="0">
                  <c:v>Yellae Lama</c:v>
                </c:pt>
                <c:pt idx="1">
                  <c:v>Adede Tholiprema</c:v>
                </c:pt>
                <c:pt idx="2">
                  <c:v>Aho Balu</c:v>
                </c:pt>
                <c:pt idx="3">
                  <c:v>Aal Izz Well</c:v>
                </c:pt>
                <c:pt idx="4">
                  <c:v>Adholokam</c:v>
                </c:pt>
                <c:pt idx="5">
                  <c:v>Aavan Jaavan</c:v>
                </c:pt>
                <c:pt idx="6">
                  <c:v>Akhiyaan Gulaab</c:v>
                </c:pt>
                <c:pt idx="7">
                  <c:v>Achacho</c:v>
                </c:pt>
                <c:pt idx="8">
                  <c:v>Aaina</c:v>
                </c:pt>
                <c:pt idx="9">
                  <c:v>Adakachakko</c:v>
                </c:pt>
              </c:strCache>
            </c:strRef>
          </c:cat>
          <c:val>
            <c:numRef>
              <c:f>Sheet14!$B$334:$B$344</c:f>
              <c:numCache>
                <c:formatCode>General</c:formatCode>
                <c:ptCount val="10"/>
                <c:pt idx="0">
                  <c:v>2</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450C-426E-AACE-48B025A5E4DC}"/>
            </c:ext>
          </c:extLst>
        </c:ser>
        <c:dLbls>
          <c:showLegendKey val="0"/>
          <c:showVal val="0"/>
          <c:showCatName val="0"/>
          <c:showSerName val="0"/>
          <c:showPercent val="0"/>
          <c:showBubbleSize val="0"/>
        </c:dLbls>
        <c:gapWidth val="150"/>
        <c:shape val="box"/>
        <c:axId val="945728784"/>
        <c:axId val="945733104"/>
        <c:axId val="0"/>
      </c:bar3DChart>
      <c:catAx>
        <c:axId val="94572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733104"/>
        <c:crosses val="autoZero"/>
        <c:auto val="1"/>
        <c:lblAlgn val="ctr"/>
        <c:lblOffset val="100"/>
        <c:noMultiLvlLbl val="0"/>
      </c:catAx>
      <c:valAx>
        <c:axId val="94573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72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251460</xdr:colOff>
      <xdr:row>5</xdr:row>
      <xdr:rowOff>175260</xdr:rowOff>
    </xdr:from>
    <xdr:to>
      <xdr:col>7</xdr:col>
      <xdr:colOff>556260</xdr:colOff>
      <xdr:row>20</xdr:row>
      <xdr:rowOff>175260</xdr:rowOff>
    </xdr:to>
    <xdr:graphicFrame macro="">
      <xdr:nvGraphicFramePr>
        <xdr:cNvPr id="2" name="Chart 1">
          <a:extLst>
            <a:ext uri="{FF2B5EF4-FFF2-40B4-BE49-F238E27FC236}">
              <a16:creationId xmlns:a16="http://schemas.microsoft.com/office/drawing/2014/main" id="{F0E7457C-1449-44E2-982E-C86D17524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152958</xdr:colOff>
      <xdr:row>5</xdr:row>
      <xdr:rowOff>138089</xdr:rowOff>
    </xdr:from>
    <xdr:to>
      <xdr:col>16</xdr:col>
      <xdr:colOff>461475</xdr:colOff>
      <xdr:row>20</xdr:row>
      <xdr:rowOff>138089</xdr:rowOff>
    </xdr:to>
    <xdr:graphicFrame macro="">
      <xdr:nvGraphicFramePr>
        <xdr:cNvPr id="3" name="Chart 1">
          <a:extLst>
            <a:ext uri="{FF2B5EF4-FFF2-40B4-BE49-F238E27FC236}">
              <a16:creationId xmlns:a16="http://schemas.microsoft.com/office/drawing/2014/main" id="{7EBE944E-F6BB-EC66-6004-D50A8DC86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27</xdr:row>
      <xdr:rowOff>30480</xdr:rowOff>
    </xdr:from>
    <xdr:to>
      <xdr:col>8</xdr:col>
      <xdr:colOff>342900</xdr:colOff>
      <xdr:row>42</xdr:row>
      <xdr:rowOff>30480</xdr:rowOff>
    </xdr:to>
    <xdr:graphicFrame macro="">
      <xdr:nvGraphicFramePr>
        <xdr:cNvPr id="4" name="Chart 1">
          <a:extLst>
            <a:ext uri="{FF2B5EF4-FFF2-40B4-BE49-F238E27FC236}">
              <a16:creationId xmlns:a16="http://schemas.microsoft.com/office/drawing/2014/main" id="{C5471181-878A-2B89-D626-E38334239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320040</xdr:colOff>
      <xdr:row>27</xdr:row>
      <xdr:rowOff>30480</xdr:rowOff>
    </xdr:from>
    <xdr:to>
      <xdr:col>18</xdr:col>
      <xdr:colOff>15240</xdr:colOff>
      <xdr:row>42</xdr:row>
      <xdr:rowOff>30480</xdr:rowOff>
    </xdr:to>
    <xdr:graphicFrame macro="">
      <xdr:nvGraphicFramePr>
        <xdr:cNvPr id="5" name="Chart 1">
          <a:extLst>
            <a:ext uri="{FF2B5EF4-FFF2-40B4-BE49-F238E27FC236}">
              <a16:creationId xmlns:a16="http://schemas.microsoft.com/office/drawing/2014/main" id="{F3D94A26-C9CE-A6FF-5C8A-EFD12C496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4294</xdr:colOff>
      <xdr:row>48</xdr:row>
      <xdr:rowOff>35119</xdr:rowOff>
    </xdr:from>
    <xdr:to>
      <xdr:col>8</xdr:col>
      <xdr:colOff>325136</xdr:colOff>
      <xdr:row>63</xdr:row>
      <xdr:rowOff>28243</xdr:rowOff>
    </xdr:to>
    <xdr:graphicFrame macro="">
      <xdr:nvGraphicFramePr>
        <xdr:cNvPr id="6" name="Chart 2">
          <a:extLst>
            <a:ext uri="{FF2B5EF4-FFF2-40B4-BE49-F238E27FC236}">
              <a16:creationId xmlns:a16="http://schemas.microsoft.com/office/drawing/2014/main" id="{F416B35D-0F34-30EF-4559-AAD8AB8FE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83819</xdr:colOff>
      <xdr:row>47</xdr:row>
      <xdr:rowOff>181175</xdr:rowOff>
    </xdr:from>
    <xdr:to>
      <xdr:col>17</xdr:col>
      <xdr:colOff>356775</xdr:colOff>
      <xdr:row>63</xdr:row>
      <xdr:rowOff>12853</xdr:rowOff>
    </xdr:to>
    <xdr:graphicFrame macro="">
      <xdr:nvGraphicFramePr>
        <xdr:cNvPr id="7" name="Chart 1">
          <a:extLst>
            <a:ext uri="{FF2B5EF4-FFF2-40B4-BE49-F238E27FC236}">
              <a16:creationId xmlns:a16="http://schemas.microsoft.com/office/drawing/2014/main" id="{682A1823-06F5-7EF4-E894-0368B694F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0</xdr:colOff>
      <xdr:row>69</xdr:row>
      <xdr:rowOff>0</xdr:rowOff>
    </xdr:from>
    <xdr:to>
      <xdr:col>4</xdr:col>
      <xdr:colOff>602166</xdr:colOff>
      <xdr:row>82</xdr:row>
      <xdr:rowOff>50877</xdr:rowOff>
    </xdr:to>
    <mc:AlternateContent xmlns:mc="http://schemas.openxmlformats.org/markup-compatibility/2006" xmlns:a14="http://schemas.microsoft.com/office/drawing/2010/main">
      <mc:Choice Requires="a14">
        <xdr:graphicFrame macro="">
          <xdr:nvGraphicFramePr>
            <xdr:cNvPr id="8" name="Language">
              <a:extLst>
                <a:ext uri="{FF2B5EF4-FFF2-40B4-BE49-F238E27FC236}">
                  <a16:creationId xmlns:a16="http://schemas.microsoft.com/office/drawing/2014/main" id="{9669061F-B62A-4042-87C8-4BB3B748A744}"/>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1210235" y="12371294"/>
              <a:ext cx="1812402" cy="238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69</xdr:row>
      <xdr:rowOff>0</xdr:rowOff>
    </xdr:from>
    <xdr:to>
      <xdr:col>10</xdr:col>
      <xdr:colOff>602166</xdr:colOff>
      <xdr:row>82</xdr:row>
      <xdr:rowOff>50877</xdr:rowOff>
    </xdr:to>
    <mc:AlternateContent xmlns:mc="http://schemas.openxmlformats.org/markup-compatibility/2006" xmlns:a14="http://schemas.microsoft.com/office/drawing/2010/main">
      <mc:Choice Requires="a14">
        <xdr:graphicFrame macro="">
          <xdr:nvGraphicFramePr>
            <xdr:cNvPr id="9" name="Genre">
              <a:extLst>
                <a:ext uri="{FF2B5EF4-FFF2-40B4-BE49-F238E27FC236}">
                  <a16:creationId xmlns:a16="http://schemas.microsoft.com/office/drawing/2014/main" id="{CF0815D8-3575-45DB-B8A2-8BB35E9E2064}"/>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840941" y="12371294"/>
              <a:ext cx="1812401" cy="238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87</xdr:row>
      <xdr:rowOff>0</xdr:rowOff>
    </xdr:from>
    <xdr:to>
      <xdr:col>4</xdr:col>
      <xdr:colOff>602166</xdr:colOff>
      <xdr:row>100</xdr:row>
      <xdr:rowOff>50877</xdr:rowOff>
    </xdr:to>
    <mc:AlternateContent xmlns:mc="http://schemas.openxmlformats.org/markup-compatibility/2006" xmlns:a14="http://schemas.microsoft.com/office/drawing/2010/main">
      <mc:Choice Requires="a14">
        <xdr:graphicFrame macro="">
          <xdr:nvGraphicFramePr>
            <xdr:cNvPr id="10" name="Performance category 1">
              <a:extLst>
                <a:ext uri="{FF2B5EF4-FFF2-40B4-BE49-F238E27FC236}">
                  <a16:creationId xmlns:a16="http://schemas.microsoft.com/office/drawing/2014/main" id="{4CB23662-5259-4E61-836D-754B60890461}"/>
                </a:ext>
              </a:extLst>
            </xdr:cNvPr>
            <xdr:cNvGraphicFramePr/>
          </xdr:nvGraphicFramePr>
          <xdr:xfrm>
            <a:off x="0" y="0"/>
            <a:ext cx="0" cy="0"/>
          </xdr:xfrm>
          <a:graphic>
            <a:graphicData uri="http://schemas.microsoft.com/office/drawing/2010/slicer">
              <sle:slicer xmlns:sle="http://schemas.microsoft.com/office/drawing/2010/slicer" name="Performance category 1"/>
            </a:graphicData>
          </a:graphic>
        </xdr:graphicFrame>
      </mc:Choice>
      <mc:Fallback xmlns="">
        <xdr:sp macro="" textlink="">
          <xdr:nvSpPr>
            <xdr:cNvPr id="0" name=""/>
            <xdr:cNvSpPr>
              <a:spLocks noTextEdit="1"/>
            </xdr:cNvSpPr>
          </xdr:nvSpPr>
          <xdr:spPr>
            <a:xfrm>
              <a:off x="1210235" y="15598588"/>
              <a:ext cx="1812402" cy="238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87</xdr:row>
      <xdr:rowOff>0</xdr:rowOff>
    </xdr:from>
    <xdr:to>
      <xdr:col>10</xdr:col>
      <xdr:colOff>602166</xdr:colOff>
      <xdr:row>100</xdr:row>
      <xdr:rowOff>50877</xdr:rowOff>
    </xdr:to>
    <mc:AlternateContent xmlns:mc="http://schemas.openxmlformats.org/markup-compatibility/2006" xmlns:a14="http://schemas.microsoft.com/office/drawing/2010/main">
      <mc:Choice Requires="a14">
        <xdr:graphicFrame macro="">
          <xdr:nvGraphicFramePr>
            <xdr:cNvPr id="12" name="Song Name 1">
              <a:extLst>
                <a:ext uri="{FF2B5EF4-FFF2-40B4-BE49-F238E27FC236}">
                  <a16:creationId xmlns:a16="http://schemas.microsoft.com/office/drawing/2014/main" id="{9857B1F0-784A-4872-9655-25C407D5E965}"/>
                </a:ext>
              </a:extLst>
            </xdr:cNvPr>
            <xdr:cNvGraphicFramePr/>
          </xdr:nvGraphicFramePr>
          <xdr:xfrm>
            <a:off x="0" y="0"/>
            <a:ext cx="0" cy="0"/>
          </xdr:xfrm>
          <a:graphic>
            <a:graphicData uri="http://schemas.microsoft.com/office/drawing/2010/slicer">
              <sle:slicer xmlns:sle="http://schemas.microsoft.com/office/drawing/2010/slicer" name="Song Name 1"/>
            </a:graphicData>
          </a:graphic>
        </xdr:graphicFrame>
      </mc:Choice>
      <mc:Fallback xmlns="">
        <xdr:sp macro="" textlink="">
          <xdr:nvSpPr>
            <xdr:cNvPr id="0" name=""/>
            <xdr:cNvSpPr>
              <a:spLocks noTextEdit="1"/>
            </xdr:cNvSpPr>
          </xdr:nvSpPr>
          <xdr:spPr>
            <a:xfrm>
              <a:off x="4840941" y="15598588"/>
              <a:ext cx="1812401" cy="2381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65235</xdr:colOff>
      <xdr:row>312</xdr:row>
      <xdr:rowOff>93299</xdr:rowOff>
    </xdr:from>
    <xdr:to>
      <xdr:col>12</xdr:col>
      <xdr:colOff>344015</xdr:colOff>
      <xdr:row>327</xdr:row>
      <xdr:rowOff>48694</xdr:rowOff>
    </xdr:to>
    <xdr:graphicFrame macro="">
      <xdr:nvGraphicFramePr>
        <xdr:cNvPr id="13" name="Chart 3">
          <a:extLst>
            <a:ext uri="{FF2B5EF4-FFF2-40B4-BE49-F238E27FC236}">
              <a16:creationId xmlns:a16="http://schemas.microsoft.com/office/drawing/2014/main" id="{AA5860CC-E015-A45C-2637-FF1C2E9E5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592667</xdr:colOff>
      <xdr:row>6</xdr:row>
      <xdr:rowOff>0</xdr:rowOff>
    </xdr:from>
    <xdr:to>
      <xdr:col>26</xdr:col>
      <xdr:colOff>197556</xdr:colOff>
      <xdr:row>22</xdr:row>
      <xdr:rowOff>33867</xdr:rowOff>
    </xdr:to>
    <xdr:graphicFrame macro="">
      <xdr:nvGraphicFramePr>
        <xdr:cNvPr id="15" name="Chart 14">
          <a:extLst>
            <a:ext uri="{FF2B5EF4-FFF2-40B4-BE49-F238E27FC236}">
              <a16:creationId xmlns:a16="http://schemas.microsoft.com/office/drawing/2014/main" id="{5464A08E-A0B5-42AA-88D4-3A9F551DE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Kumar" refreshedDate="46106.912301273151" createdVersion="8" refreshedVersion="8" minRefreshableVersion="3" recordCount="175" xr:uid="{B75271B2-72BD-45AB-A4BA-6E90826F374E}">
  <cacheSource type="worksheet">
    <worksheetSource name="musicmd"/>
  </cacheSource>
  <cacheFields count="7">
    <cacheField name="ID" numFmtId="0">
      <sharedItems/>
    </cacheField>
    <cacheField name="Song Name" numFmtId="0">
      <sharedItems/>
    </cacheField>
    <cacheField name="Artist Name" numFmtId="0">
      <sharedItems count="171">
        <s v="Sooraj Santhosh"/>
        <s v="Devi Sri Prasad, Piyush Kapoor"/>
        <s v="Devi Sri Prasad"/>
        <s v="K.G. Ranjith, Sri Charan"/>
        <s v="Adnan Sami"/>
        <s v="Harini"/>
        <s v="Ajesh Ashok"/>
        <s v="Shruti Haasan, Dhanush"/>
        <s v="Anirudh Ravichander, Mohit Chauhan"/>
        <s v="Indravathi Chauhan"/>
        <s v="Nakash Aziz"/>
        <s v="Sivam"/>
        <s v="Mounika Yadav"/>
        <s v="Anirudh Ravichander, Dhanush"/>
        <s v="Karthik, Megha"/>
        <s v="Karthik, Vijay Prakash, Pop Shalini, Rita Thyagarajan"/>
        <s v="S.P. Balasubrahmanyam, Shweta Mohan"/>
        <s v="Roop Kumar Rathod, Shreya Ghoshal"/>
        <s v="Harish Raghavendra, Srimathumitha, Ustad Sultan Khan"/>
        <s v="Karthik"/>
        <s v="P. Unnikrishnan, Pop Shalini, Ganga"/>
        <s v="Yuvan Shankar Raja, KK, Siva Ganesh"/>
        <s v="Bheems Ceciroleo, Swathi Reddy UK"/>
        <s v="Inno Genga"/>
        <s v="Hiphop Tamizha, Rahul Sipligunj"/>
        <s v="Rahul Nambiar, Priya Hemesh"/>
        <s v="Thaman S, Divya S. Menon"/>
        <s v="Shruti Haasan, Simha, Bheems"/>
        <s v="Karthik, K.S. Chithra"/>
        <s v="Siddharth Suryanarayan, Sumangali"/>
        <s v="Hiphop Tamizha, Aditya Iyengar"/>
        <s v="Karthik, M.M. Manasi"/>
        <s v="Anup Rubens, Mohit Chauhan, Shekhar Chandra"/>
        <s v="Anup Rubens, Rahul Rido, Sharanya Srinivas, K.G. Ranjith"/>
        <s v="Anup Rubens, Rahul Pandey"/>
        <s v="Raghav Chaitanya, Pritam Chakraborty, Anantha Sriram"/>
        <s v="Vishal Mishra"/>
        <s v="Kunal Ganjawala, Vasundhara Das"/>
        <s v="KK, Jassie Gift, Sujatha Mohan"/>
        <s v="Karthik, Kavita Krishnamurthy"/>
        <s v="KK, Sunitha Upadrashta"/>
        <s v="K.G. Ranjith, Mahalakshmi Iyer"/>
        <s v="L.V. Revanth &amp; Sravana Bhargavi"/>
        <s v="Ramya Behara, Deepu"/>
        <s v="Mohana Bhogaraju, L.V. Revanth"/>
        <s v="Karthik, Damini Bhatla"/>
        <s v="S.P. Balasubrahmanyam, Geetha Madhuri"/>
        <s v="Thaman S, Ravi Teja"/>
        <s v="David Simon, Rita Thyagarajan"/>
        <s v="Vijai Bulganin, Anudeep Devarakonda, Suresh Banisetti"/>
        <s v="Nikhil D'Souza"/>
        <s v="Yo Yo Honey Singh, Sahil Kaushal &amp; Manoj Yadav"/>
        <s v="Nakash Aziz, Neeti Mohan"/>
        <s v="Yo Yo Honey Singh &amp; Lil Golu"/>
        <s v="Sachet Tandon, Parampara Tandon &amp; Irshad Kamil"/>
        <s v="Devi Sri Prasad, Papon, Shreya Ghoshal"/>
        <s v="Shefali Alvares, Nikhil D'Souza &amp; Javed Bashir"/>
        <s v="Miss Pooja, Neha Kakkar &amp; Nakash Aziz"/>
        <s v="Arijit Singh, Chinmayi Sripada"/>
        <s v="Sonu Nigam, Swanand Kirkire &amp; Shaan"/>
        <s v="Jubin Nautiyal, Asees Kaur"/>
        <s v="Arko, Arijit Singh, Manoj Muntashir"/>
        <s v="Arko, Tulsi Kumar, Neha Kakkar"/>
        <s v="Jubin Nautiyal, Shamir Tandon, Sameer Anjaan"/>
        <s v="Shilpa Rao, Darshan Raval, Shashwat Singh, Charan"/>
        <s v="Jubin Nautiayal"/>
        <s v="Arijit Singh"/>
        <s v="Talwiinder, Nds, MC Square"/>
        <s v="Mitraz"/>
        <s v="Raghav Chaitanya, Varun Jain"/>
        <s v="Yohani, Jubin Nautiyal, Surya Raghunathan, Tanishk Bagchi, Chamath Sangeeth, Rashmi Virag, Dulan ARX, Mellow D"/>
        <s v="Arijit Singh, Nikhita Gandhi"/>
        <s v="Sajid-Wajid"/>
        <s v="Vishal Mishra &amp; Arijit Singh"/>
        <s v="Abhijit Vaghani,Kalyanji-Anandji, Arijit Singh, Tulsi Kumar, Neuman Pinto, Rajendra Krishna"/>
        <s v="Arijit Singh, Shilpa Rao"/>
        <s v="Sachet Tandon, Saaj Bhatt"/>
        <s v="Chirrantan Bhatt, Mika Singh, Talia Bentson"/>
        <s v="Chirrantan Bhatt, Wajhi Farooki, Palak Muchhal"/>
        <s v="Arijit Singh, Amitabh Bhattacharya, Jonita Gandhi"/>
        <s v="Shreya Ghoshal, Tushar Joshi"/>
        <s v="Asees Kaur, Dev Negi, Panchhi Jalonvi"/>
        <s v="Nakash Aziz, Manish J. Tipu, Geetsagar, Sreerama Chandra, Amitabh Bhattacharya"/>
        <s v="Lijo George, DJ Chetas, Nakash Aziz, Dhvani Bhanushali, Jonita Gandhi, Vivek Hariharan, Kumaar, Hari"/>
        <s v="Farhad Bhiwandiwala"/>
        <s v="Mithoon, Tony Kakkar, Arijit Singh"/>
        <s v="Pritam, Sunidhi Chauhan, Sameer"/>
        <s v="Pritam, Dominique Cerejo, Vishal Dadlani, Sameer"/>
        <s v="Shashwat Sachdev, Roshan, Shahzad Ali, Subhadeep Das Chowdhury, Armaan Khan, Sahir Ludhianvi, Irshad Kamil"/>
        <s v="Shashwat Sachdev, Jasmine Sandlas, Madhubanti Bagchi"/>
        <s v="Shashwat Sachdev, Arijit Singh, Armaan Khan, Irshad Kamil"/>
        <s v="Meet Bros, Shardul Rathod, Jubin Nautiyal, Manoj Muntashir"/>
        <s v="White Noise Collectives, Neeraj Shridhar, Shruti Dhasmana, Som"/>
        <s v="Shreya Ghoshal, Parry Gripp"/>
        <s v="Ankit Tiwari, Shruti Pathak"/>
        <s v="Armaan Malik, Shraddha Kapoor"/>
        <s v="Anirudh Ravichander, Sublahshini, Asal Kolaar, Vishnu Edavan"/>
        <s v="Yuvan Shankar Raja, Asal Kolaar, Arun Kaundinya, Karunkaran, Shri Shivani VP"/>
        <s v="Ilaiyaraaja, Premgi Amaran, M.M. Manasi, Muthamil"/>
        <s v="A.R. Rahman, Sid Sriram, Shashaa Tirupati, Madhan Karky Vairamuthu"/>
        <s v="A.R. Rahman, Arijit Singh, Chinmayi Sripada, Madhan Karky Vairamuthu"/>
        <s v="A.R. Rahman, Benny Dayal, Vairamuthu"/>
        <s v="A.R. Rahman, Haricharan Seshadri, Shashaa Tirupati, Vairamuthu"/>
        <s v="A.R. Rahman, Sid Sriram, Sanah Moidutty, Jonita Gandhi, Madhan Karky Vairamuthu"/>
        <s v="Anirudh Ravichander, Ajesh Ashok"/>
        <s v="Harris Jayaraj, Benny Dayal, Jerry John, Suchitra, Roshan, Pa. Vijay"/>
        <s v="Harris Jayaraj, Karthik, Megha, Na. Muthukumar"/>
        <s v="Harris Jayaraj, Karthik, Vijay Prakash, Pop Shalini, Shruti Haasan, Na. Muthukumar"/>
        <s v="Harris Jayaraj, Karthik, Harini, Dr. Burn, Benny Dayal, Maya, Pa. Vijay"/>
        <s v="Harris Jayaraj, Benny Dayal, Na. Muthukumar"/>
        <s v="Harris Jayaraj, P. Unnikrishnan, Chinmayi Sripada, Megha, Kabilan"/>
        <s v="Harris Jayaraj, Shail Hada, Sudha Raghunathan, Andrea Jeremiah, Thamarai"/>
        <s v="Hiphop Tamizha, Mohit Chauhan, Amrita Shekar &amp; Nirthya Maria Andrews"/>
        <s v="Hiphop Tamizha, Kailash Kher, Vishnupriya Ravi &amp; Maria Roe Vincent"/>
        <s v="Hiphop Tamizha"/>
        <s v="Anirudh Ravichander, Jonita Gandhi, Sivakarthikeyan"/>
        <s v="Andrea Jeremiah"/>
        <s v="Thaman S"/>
        <s v="Vijay Antony, Sarath Santhosh, Madhushree, Arun Bharathi"/>
        <s v="Vijay Antony, Kharesma Ravichandran, Arun Bharathi"/>
        <s v="Vijay Antony, Nivas, Arun Bharathi"/>
        <s v="Yuvan Shankar Raja, Benny Dayal, Shweta Pandit, Viveka"/>
        <s v="Hiphop Tamizha, Kharesma Ravichandran, Srinisha Jayaseelan, Vignesh Srikanth"/>
        <s v="Yuvan Shankar Raja, Priya Jerson, Arunraja Kamaraj"/>
        <s v="Yuvan Shankar Raja, Devan Ekambaram, Vaali"/>
        <s v="Thaman S, Deepak Blue"/>
        <s v="Thaman S, Sri Vardhini, Aditi Bhavaraju, Satya Yamini, Roshini JKV, Tejaswini"/>
        <s v="A.R. Rahman, Hariharan, Sadhana Sargam, Benny Dayal, Naresh Iyer"/>
        <s v="A.R. Rahman, Kash n' Krissy, Madhan Karky Vairamuthu"/>
        <s v="A.R. Rahman, Vijay Prakash, Shreya Ghoshal, Vairamuthu"/>
        <s v="A.R. Rahman, Javed Ali, Chinmayi Sripada, Pa. Vijay"/>
        <s v="Harris Jayaraj, Karthik, Thamarai"/>
        <s v="Harris Jayaraj, Annupamaa Krishnaswami, Thamarai"/>
        <s v="Harris Jayaraj, Nakkhul Jaidev, Mathangi Jagdish, Vaali"/>
        <s v="Harris Jayaraj, Christopher Stanley, Abhay Jodhpurkar, Ujjayinee Roy, Madhan Karky Vairamuthu"/>
        <s v="Harris Jayaraj, N.C. Karunya, Ramya NSK, Thamarai"/>
        <s v="Harris Jayaraj, Tippu, Pravin Saivi, Srimathumitha, Madhan Karky Vairamuthu"/>
        <s v="A.R. Rahman, P. Unnikrishnan, S.P.B. Pallavi, Vairamuthu"/>
        <s v="A.R. Rahman, P. Unnikrishnan, Sujatha Mohan, Vairamuthu"/>
        <s v="Santhosh Narayanan, Ananthu, Pradeep Kumar, Shweta Mohan, Uma Devi"/>
        <s v="Santhosh Narayanan, Arunraja Kamaraj"/>
        <s v="Devi Sri Prasad, Lavita Lobo, Viveka"/>
        <s v="Yuvan Shankar Raja, Sid Sriram, Pradeep Ranganathan"/>
        <s v="Yuvan Shankar Raja, Pradeep Ranganathan"/>
        <s v="Yuvan Shankar Raja, Dhanush, Dhee"/>
        <s v="Yuvan Shankar Raja, KK, Pa. Vijay"/>
        <s v="Vishnu Vijay, Suhail Koya, Kapil Kapilan, Shakthisree Gopalan"/>
        <s v="Vishnu Vijay, Suhail Koya, Kapil Kapilan, Vagu Mazan"/>
        <s v="Vishnu Vijay, Suhail Koya, Sanjith Hegde"/>
        <s v="Vishnu Vijay, Suhail Koya, K.G. Markose"/>
        <s v="Sushin Shyam, Dabzee, Vinayak Sasikumar"/>
        <s v="Sushin Shyam, Paal Dabba, Vinayak Sasikumar"/>
        <s v="Sushin Shyam, Vipin Raveendran, Vinayak Sasikumar"/>
        <s v="Sushin Shyam, Nazriya Nazim, Vinayak Sasikumar"/>
        <s v="Sushin Shyam, Pranavam Sasi, Vinayak Sasikumar"/>
        <s v="The Independers, S. Janaki, Ilaiyaraaja"/>
        <s v="Karthik, Bharadwaj"/>
        <s v="Usha Uthup"/>
        <s v="Jakes Bejoy, Biju Menon, Prithviraj Sukumaran, Biju Menon, Hari Nayayanan B.K."/>
        <s v="Jakes Bejoy, Nanjiyamma"/>
        <s v="Jakes Bejoy, Kottakkal Madhu"/>
        <s v="Jakes Bejoy, Sid Sriram, Sithara Krishnakumar"/>
        <s v="Vishnu Vijay, Irfana Hameed, Mu.Ri"/>
        <s v="Vishnu Vijay, Haricharan Seshadri, Benny Dayal, Salim Kumar, Mu.Ri"/>
        <s v="Vishnu Vijay, Hrithik Jayakish, Neha Girish, Eshaan Sanil, Thejas Krishna"/>
        <s v="Vishnu Vijay, Muhsin Parari, Shenbagaraj, Santhosh Hariharan, Sreeraj, Swathi Das, Austin Dan, Lukman Avaran, Adri Joe, Gokulan, Binu Pappu, Mu.Ri"/>
        <s v="Dabzee, SA, MHR"/>
        <s v="Vishnu Vijay, Shakthisree Gopalan, Tovino Thomas"/>
        <s v="Vishnu Vijay, Tovino Thomas, Mu.Ri"/>
        <s v="Vishnu Vijay, Meera Prakash, Sinduri, Gayathry Rajiv"/>
        <s v="Vishnu Vijay, Khalid Rahman"/>
      </sharedItems>
    </cacheField>
    <cacheField name="Album Name" numFmtId="0">
      <sharedItems containsMixedTypes="1" containsNumber="1" containsInteger="1" minValue="3" maxValue="3" count="82">
        <s v="1 - Nenokkadine"/>
        <s v="100% Love"/>
        <n v="3"/>
        <s v="Pushpa - The Rise (Part - 01)"/>
        <s v="7th Sense"/>
        <s v="7/G Brundhavana Colony"/>
        <s v="(MAD)2"/>
        <s v="A1 Express"/>
        <s v="Aadu Magadra Bujji"/>
        <s v="Aagadu"/>
        <s v="Aata"/>
        <s v="Agent"/>
        <s v="Akhil - The Power of Jua"/>
        <s v="Animal (Telugu)"/>
        <s v="Aparichithudu"/>
        <s v="Athadu"/>
        <s v="Badrenath"/>
        <s v="Baahubali - The Beginning"/>
        <s v="Bhai"/>
        <s v="Baby"/>
        <s v="Boss"/>
        <s v="Bharat"/>
        <s v="Chennai Express"/>
        <s v="Chura Liya"/>
        <s v="Cirkus"/>
        <s v="Cocktail"/>
        <s v="2 States"/>
        <s v="3 Idiots"/>
        <s v="Shershaah"/>
        <s v="The Body"/>
        <s v="Tadap"/>
        <s v="Teri Baaton Mein Aisa Uljha Jiya"/>
        <s v="Thank God"/>
        <s v="Tu Jhoothi Main Makkaar"/>
        <s v="Tutak Tutak Tutiya"/>
        <s v="Wajah Tum Ho"/>
        <s v="War"/>
        <s v="War 2"/>
        <s v="Zanjeer"/>
        <s v="Brahmastra"/>
        <s v="Chhalaang"/>
        <s v="Chhichhore"/>
        <s v="Commando 3"/>
        <s v="Creature 3D"/>
        <s v="Dhoom"/>
        <s v="Dhoom: 2"/>
        <s v="Dhurandhar"/>
        <s v="Dil Galti Kar Baitha Hai"/>
        <s v="Housefull 5"/>
        <s v="Baaghi 2"/>
        <s v="Baaghi"/>
        <s v="Coolie"/>
        <s v="Custody"/>
        <s v="2.0 (Tamil)"/>
        <s v="24 (Tamil)"/>
        <s v="7aum Arivu"/>
        <s v="Aadhavan"/>
        <s v="Aambala"/>
        <s v="Beast"/>
        <s v="Prince"/>
        <s v="Pichaikkaran 2"/>
        <s v="Anjaan"/>
        <s v="Aranmanai 4"/>
        <s v="Balloon"/>
        <s v="Biriyani"/>
        <s v="Enemy"/>
        <s v="Enthiran"/>
        <s v="Ghajini"/>
        <s v="Iru Mugan"/>
        <s v="Jeans"/>
        <s v="Kabali"/>
        <s v="Kanguva"/>
        <s v="Love Today"/>
        <s v="Maari 2"/>
        <s v="Manmadhan"/>
        <s v="Premalu"/>
        <s v="Aavesham"/>
        <s v="Lokah Chapter 1: Chandra"/>
        <s v="Lucifer"/>
        <s v="AK - Ayyappannum Koshiyum"/>
        <s v="Narivetta"/>
        <s v="Thallumaala"/>
      </sharedItems>
    </cacheField>
    <cacheField name="Release Year" numFmtId="0">
      <sharedItems containsSemiMixedTypes="0" containsString="0" containsNumber="1" containsInteger="1" minValue="1998" maxValue="2025"/>
    </cacheField>
    <cacheField name="Language" numFmtId="0">
      <sharedItems count="4">
        <s v="Telugu"/>
        <s v="Hindi"/>
        <s v="Tamil"/>
        <s v="Malayalam"/>
      </sharedItems>
    </cacheField>
    <cacheField name="Genre" numFmtId="0">
      <sharedItems count="40">
        <s v="Romantic - Sad"/>
        <s v="Romantic"/>
        <s v="Inspirational"/>
        <s v="Youth/College vibe"/>
        <s v="Devotional"/>
        <s v="Sad"/>
        <s v="Item, Mass"/>
        <s v="Mass (Energy), Inspirational"/>
        <s v="Mass"/>
        <s v="Romantic (Love)"/>
        <s v="Pop"/>
        <s v="Youth, Romantic"/>
        <s v="Mass (Energy)"/>
        <s v="Love"/>
        <s v="Romantic - Duet"/>
        <s v="Folk"/>
        <s v="Party"/>
        <s v="Fun"/>
        <s v="Dance"/>
        <s v="Romantic, Melody"/>
        <s v="Party/Youth"/>
        <s v="Mass (Energy)/Inspirational"/>
        <s v="Theme/Entry song"/>
        <s v="Item, Dance"/>
        <s v="Sad, Melody"/>
        <s v="Party, Dance"/>
        <s v="Party, Dance, Mass"/>
        <s v="Futuristic/Sci-Fi"/>
        <s v="Mass, Dance"/>
        <s v="Electronic, Dance"/>
        <s v="Electronic, Dance, Romantic"/>
        <s v="Romantic-Pop"/>
        <s v="Melody"/>
        <s v="Mass, Inspirational"/>
        <s v="Fun/Youth"/>
        <s v="Party, Mass"/>
        <s v="Dance, Party"/>
        <s v="Theme"/>
        <s v="Traditional"/>
        <s v="Romantic - Pop"/>
      </sharedItems>
    </cacheField>
  </cacheFields>
  <extLst>
    <ext xmlns:x14="http://schemas.microsoft.com/office/spreadsheetml/2009/9/main" uri="{725AE2AE-9491-48be-B2B4-4EB974FC3084}">
      <x14:pivotCacheDefinition pivotCacheId="9291975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07.041098263886" backgroundQuery="1" createdVersion="8" refreshedVersion="8" minRefreshableVersion="3" recordCount="0" supportSubquery="1" supportAdvancedDrill="1" xr:uid="{1DCE4560-FCAE-471B-9980-0B89A08F7A96}">
  <cacheSource type="external" connectionId="1"/>
  <cacheFields count="3">
    <cacheField name="[Measures].[Count of Song Name]" caption="Count of Song Name" numFmtId="0" hierarchy="14" level="32767"/>
    <cacheField name="[musicmd].[Language].[Language]" caption="Language" numFmtId="0" hierarchy="5" level="1">
      <sharedItems count="4">
        <s v="Hindi"/>
        <s v="Malayalam"/>
        <s v="Tamil"/>
        <s v="Telugu"/>
      </sharedItems>
    </cacheField>
    <cacheField name="[Measures].[Count of Views (YouTube)]" caption="Count of Views (YouTube)" numFmtId="0" hierarchy="15" level="32767"/>
  </cacheFields>
  <cacheHierarchies count="16">
    <cacheHierarchy uniqueName="[musicmd].[ID]" caption="ID" attribute="1" defaultMemberUniqueName="[musicmd].[ID].[All]" allUniqueName="[musicmd].[ID].[All]" dimensionUniqueName="[musicmd]" displayFolder="" count="0" memberValueDatatype="130" unbalanced="0"/>
    <cacheHierarchy uniqueName="[musicmd].[Song Name]" caption="Song Name" attribute="1" defaultMemberUniqueName="[musicmd].[Song Name].[All]" allUniqueName="[musicmd].[Song Name].[All]" dimensionUniqueName="[musicmd]" displayFolder="" count="0" memberValueDatatype="130" unbalanced="0"/>
    <cacheHierarchy uniqueName="[musicmd].[Artist Name]" caption="Artist Name" attribute="1" defaultMemberUniqueName="[musicmd].[Artist Name].[All]" allUniqueName="[musicmd].[Artist Name].[All]" dimensionUniqueName="[musicmd]" displayFolder="" count="0" memberValueDatatype="130" unbalanced="0"/>
    <cacheHierarchy uniqueName="[musicmd].[Album Name]" caption="Album Name" attribute="1" defaultMemberUniqueName="[musicmd].[Album Name].[All]" allUniqueName="[musicmd].[Album Name].[All]" dimensionUniqueName="[musicmd]" displayFolder="" count="0" memberValueDatatype="130" unbalanced="0"/>
    <cacheHierarchy uniqueName="[musicmd].[Release Year]" caption="Release Year" attribute="1" defaultMemberUniqueName="[musicmd].[Release Year].[All]" allUniqueName="[musicmd].[Release Year].[All]" dimensionUniqueName="[musicmd]" displayFolder="" count="0" memberValueDatatype="20" unbalanced="0"/>
    <cacheHierarchy uniqueName="[musicmd].[Language]" caption="Language" attribute="1" defaultMemberUniqueName="[musicmd].[Language].[All]" allUniqueName="[musicmd].[Language].[All]" dimensionUniqueName="[musicmd]" displayFolder="" count="2" memberValueDatatype="130" unbalanced="0">
      <fieldsUsage count="2">
        <fieldUsage x="-1"/>
        <fieldUsage x="1"/>
      </fieldsUsage>
    </cacheHierarchy>
    <cacheHierarchy uniqueName="[musicmd].[Genre]" caption="Genre" attribute="1" defaultMemberUniqueName="[musicmd].[Genre].[All]" allUniqueName="[musicmd].[Genre].[All]" dimensionUniqueName="[musicmd]" displayFolder="" count="0" memberValueDatatype="130" unbalanced="0"/>
    <cacheHierarchy uniqueName="[musicmd].[Views (YouTube)]" caption="Views (YouTube)" attribute="1" defaultMemberUniqueName="[musicmd].[Views (YouTube)].[All]" allUniqueName="[musicmd].[Views (YouTube)].[All]" dimensionUniqueName="[musicmd]" displayFolder="" count="0" memberValueDatatype="130" unbalanced="0"/>
    <cacheHierarchy uniqueName="[musicmd].[Performance category]" caption="Performance category" attribute="1" defaultMemberUniqueName="[musicmd].[Performance category].[All]" allUniqueName="[musicmd].[Performance category].[All]" dimensionUniqueName="[musicmd]" displayFolder="" count="0" memberValueDatatype="130" unbalanced="0"/>
    <cacheHierarchy uniqueName="[musicmd].[Revenue Categor]" caption="Revenue Categor" attribute="1" defaultMemberUniqueName="[musicmd].[Revenue Categor].[All]" allUniqueName="[musicmd].[Revenue Categor].[All]" dimensionUniqueName="[musicmd]" displayFolder="" count="0" memberValueDatatype="130" unbalanced="0"/>
    <cacheHierarchy uniqueName="[Range].[Views (YouTube)]" caption="Views (YouTube)" attribute="1" defaultMemberUniqueName="[Range].[Views (YouTube)].[All]" allUniqueName="[Range].[Views (YouTube)].[All]" dimensionUniqueName="[Range]" displayFolder="" count="0" memberValueDatatype="130" unbalanced="0"/>
    <cacheHierarchy uniqueName="[Measures].[__XL_Count musicmd]" caption="__XL_Count musicmd" measure="1" displayFolder="" measureGroup="musicmd"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ong Name]" caption="Count of Song Name" measure="1" displayFolder="" measureGroup="musicmd"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Views (YouTube)]" caption="Count of Views (YouTube)" measure="1" displayFolder="" measureGroup="musicmd"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musicmd" uniqueName="[musicmd]" caption="musicmd"/>
    <dimension name="Range" uniqueName="[Range]" caption="Range"/>
  </dimensions>
  <measureGroups count="2">
    <measureGroup name="musicmd" caption="musicmd"/>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07.001939930553" backgroundQuery="1" createdVersion="8" refreshedVersion="8" minRefreshableVersion="3" recordCount="0" supportSubquery="1" supportAdvancedDrill="1" xr:uid="{F646F94A-B037-4B63-B88B-6AEEF482CCCC}">
  <cacheSource type="external" connectionId="1"/>
  <cacheFields count="2">
    <cacheField name="[musicmd].[Revenue Categor].[Revenue Categor]" caption="Revenue Categor" numFmtId="0" hierarchy="9" level="1">
      <sharedItems count="1">
        <s v="High"/>
      </sharedItems>
    </cacheField>
    <cacheField name="[Measures].[Count of Song Name]" caption="Count of Song Name" numFmtId="0" hierarchy="14" level="32767"/>
  </cacheFields>
  <cacheHierarchies count="16">
    <cacheHierarchy uniqueName="[musicmd].[ID]" caption="ID" attribute="1" defaultMemberUniqueName="[musicmd].[ID].[All]" allUniqueName="[musicmd].[ID].[All]" dimensionUniqueName="[musicmd]" displayFolder="" count="0" memberValueDatatype="130" unbalanced="0"/>
    <cacheHierarchy uniqueName="[musicmd].[Song Name]" caption="Song Name" attribute="1" defaultMemberUniqueName="[musicmd].[Song Name].[All]" allUniqueName="[musicmd].[Song Name].[All]" dimensionUniqueName="[musicmd]" displayFolder="" count="0" memberValueDatatype="130" unbalanced="0"/>
    <cacheHierarchy uniqueName="[musicmd].[Artist Name]" caption="Artist Name" attribute="1" defaultMemberUniqueName="[musicmd].[Artist Name].[All]" allUniqueName="[musicmd].[Artist Name].[All]" dimensionUniqueName="[musicmd]" displayFolder="" count="0" memberValueDatatype="130" unbalanced="0"/>
    <cacheHierarchy uniqueName="[musicmd].[Album Name]" caption="Album Name" attribute="1" defaultMemberUniqueName="[musicmd].[Album Name].[All]" allUniqueName="[musicmd].[Album Name].[All]" dimensionUniqueName="[musicmd]" displayFolder="" count="0" memberValueDatatype="130" unbalanced="0"/>
    <cacheHierarchy uniqueName="[musicmd].[Release Year]" caption="Release Year" attribute="1" defaultMemberUniqueName="[musicmd].[Release Year].[All]" allUniqueName="[musicmd].[Release Year].[All]" dimensionUniqueName="[musicmd]" displayFolder="" count="0" memberValueDatatype="20" unbalanced="0"/>
    <cacheHierarchy uniqueName="[musicmd].[Language]" caption="Language" attribute="1" defaultMemberUniqueName="[musicmd].[Language].[All]" allUniqueName="[musicmd].[Language].[All]" dimensionUniqueName="[musicmd]" displayFolder="" count="0" memberValueDatatype="130" unbalanced="0"/>
    <cacheHierarchy uniqueName="[musicmd].[Genre]" caption="Genre" attribute="1" defaultMemberUniqueName="[musicmd].[Genre].[All]" allUniqueName="[musicmd].[Genre].[All]" dimensionUniqueName="[musicmd]" displayFolder="" count="0" memberValueDatatype="130" unbalanced="0"/>
    <cacheHierarchy uniqueName="[musicmd].[Views (YouTube)]" caption="Views (YouTube)" attribute="1" defaultMemberUniqueName="[musicmd].[Views (YouTube)].[All]" allUniqueName="[musicmd].[Views (YouTube)].[All]" dimensionUniqueName="[musicmd]" displayFolder="" count="0" memberValueDatatype="130" unbalanced="0"/>
    <cacheHierarchy uniqueName="[musicmd].[Performance category]" caption="Performance category" attribute="1" defaultMemberUniqueName="[musicmd].[Performance category].[All]" allUniqueName="[musicmd].[Performance category].[All]" dimensionUniqueName="[musicmd]" displayFolder="" count="0" memberValueDatatype="130" unbalanced="0"/>
    <cacheHierarchy uniqueName="[musicmd].[Revenue Categor]" caption="Revenue Categor" attribute="1" defaultMemberUniqueName="[musicmd].[Revenue Categor].[All]" allUniqueName="[musicmd].[Revenue Categor].[All]" dimensionUniqueName="[musicmd]" displayFolder="" count="2" memberValueDatatype="130" unbalanced="0">
      <fieldsUsage count="2">
        <fieldUsage x="-1"/>
        <fieldUsage x="0"/>
      </fieldsUsage>
    </cacheHierarchy>
    <cacheHierarchy uniqueName="[Range].[Views (YouTube)]" caption="Views (YouTube)" attribute="1" defaultMemberUniqueName="[Range].[Views (YouTube)].[All]" allUniqueName="[Range].[Views (YouTube)].[All]" dimensionUniqueName="[Range]" displayFolder="" count="0" memberValueDatatype="130" unbalanced="0"/>
    <cacheHierarchy uniqueName="[Measures].[__XL_Count musicmd]" caption="__XL_Count musicmd" measure="1" displayFolder="" measureGroup="musicmd"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ong Name]" caption="Count of Song Name" measure="1" displayFolder="" measureGroup="musicmd"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Views (YouTube)]" caption="Count of Views (YouTube)" measure="1" displayFolder="" measureGroup="musicmd"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musicmd" uniqueName="[musicmd]" caption="musicmd"/>
    <dimension name="Range" uniqueName="[Range]" caption="Range"/>
  </dimensions>
  <measureGroups count="2">
    <measureGroup name="musicmd" caption="musicmd"/>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07.026360185184" backgroundQuery="1" createdVersion="8" refreshedVersion="8" minRefreshableVersion="3" recordCount="0" supportSubquery="1" supportAdvancedDrill="1" xr:uid="{3D2CE025-ABFA-4072-B200-FCC3A0A506AB}">
  <cacheSource type="external" connectionId="1"/>
  <cacheFields count="3">
    <cacheField name="[musicmd].[Performance category].[Performance category]" caption="Performance category" numFmtId="0" hierarchy="8" level="1">
      <sharedItems count="1">
        <s v="Hit"/>
      </sharedItems>
    </cacheField>
    <cacheField name="[Measures].[Count of Song Name]" caption="Count of Song Name" numFmtId="0" hierarchy="14" level="32767"/>
    <cacheField name="[musicmd].[Song Name].[Song Name]" caption="Song Name" numFmtId="0" hierarchy="1" level="1">
      <sharedItems containsSemiMixedTypes="0" containsNonDate="0" containsString="0"/>
    </cacheField>
  </cacheFields>
  <cacheHierarchies count="16">
    <cacheHierarchy uniqueName="[musicmd].[ID]" caption="ID" attribute="1" defaultMemberUniqueName="[musicmd].[ID].[All]" allUniqueName="[musicmd].[ID].[All]" dimensionUniqueName="[musicmd]" displayFolder="" count="0" memberValueDatatype="130" unbalanced="0"/>
    <cacheHierarchy uniqueName="[musicmd].[Song Name]" caption="Song Name" attribute="1" defaultMemberUniqueName="[musicmd].[Song Name].[All]" allUniqueName="[musicmd].[Song Name].[All]" dimensionUniqueName="[musicmd]" displayFolder="" count="2" memberValueDatatype="130" unbalanced="0">
      <fieldsUsage count="2">
        <fieldUsage x="-1"/>
        <fieldUsage x="2"/>
      </fieldsUsage>
    </cacheHierarchy>
    <cacheHierarchy uniqueName="[musicmd].[Artist Name]" caption="Artist Name" attribute="1" defaultMemberUniqueName="[musicmd].[Artist Name].[All]" allUniqueName="[musicmd].[Artist Name].[All]" dimensionUniqueName="[musicmd]" displayFolder="" count="0" memberValueDatatype="130" unbalanced="0"/>
    <cacheHierarchy uniqueName="[musicmd].[Album Name]" caption="Album Name" attribute="1" defaultMemberUniqueName="[musicmd].[Album Name].[All]" allUniqueName="[musicmd].[Album Name].[All]" dimensionUniqueName="[musicmd]" displayFolder="" count="0" memberValueDatatype="130" unbalanced="0"/>
    <cacheHierarchy uniqueName="[musicmd].[Release Year]" caption="Release Year" attribute="1" defaultMemberUniqueName="[musicmd].[Release Year].[All]" allUniqueName="[musicmd].[Release Year].[All]" dimensionUniqueName="[musicmd]" displayFolder="" count="0" memberValueDatatype="20" unbalanced="0"/>
    <cacheHierarchy uniqueName="[musicmd].[Language]" caption="Language" attribute="1" defaultMemberUniqueName="[musicmd].[Language].[All]" allUniqueName="[musicmd].[Language].[All]" dimensionUniqueName="[musicmd]" displayFolder="" count="0" memberValueDatatype="130" unbalanced="0"/>
    <cacheHierarchy uniqueName="[musicmd].[Genre]" caption="Genre" attribute="1" defaultMemberUniqueName="[musicmd].[Genre].[All]" allUniqueName="[musicmd].[Genre].[All]" dimensionUniqueName="[musicmd]" displayFolder="" count="0" memberValueDatatype="130" unbalanced="0"/>
    <cacheHierarchy uniqueName="[musicmd].[Views (YouTube)]" caption="Views (YouTube)" attribute="1" defaultMemberUniqueName="[musicmd].[Views (YouTube)].[All]" allUniqueName="[musicmd].[Views (YouTube)].[All]" dimensionUniqueName="[musicmd]" displayFolder="" count="0" memberValueDatatype="130" unbalanced="0"/>
    <cacheHierarchy uniqueName="[musicmd].[Performance category]" caption="Performance category" attribute="1" defaultMemberUniqueName="[musicmd].[Performance category].[All]" allUniqueName="[musicmd].[Performance category].[All]" dimensionUniqueName="[musicmd]" displayFolder="" count="2" memberValueDatatype="130" unbalanced="0">
      <fieldsUsage count="2">
        <fieldUsage x="-1"/>
        <fieldUsage x="0"/>
      </fieldsUsage>
    </cacheHierarchy>
    <cacheHierarchy uniqueName="[musicmd].[Revenue Categor]" caption="Revenue Categor" attribute="1" defaultMemberUniqueName="[musicmd].[Revenue Categor].[All]" allUniqueName="[musicmd].[Revenue Categor].[All]" dimensionUniqueName="[musicmd]" displayFolder="" count="0" memberValueDatatype="130" unbalanced="0"/>
    <cacheHierarchy uniqueName="[Range].[Views (YouTube)]" caption="Views (YouTube)" attribute="1" defaultMemberUniqueName="[Range].[Views (YouTube)].[All]" allUniqueName="[Range].[Views (YouTube)].[All]" dimensionUniqueName="[Range]" displayFolder="" count="0" memberValueDatatype="130" unbalanced="0"/>
    <cacheHierarchy uniqueName="[Measures].[__XL_Count musicmd]" caption="__XL_Count musicmd" measure="1" displayFolder="" measureGroup="musicmd"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ong Name]" caption="Count of Song Name" measure="1" displayFolder="" measureGroup="musicmd"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Views (YouTube)]" caption="Count of Views (YouTube)" measure="1" displayFolder="" measureGroup="musicmd"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musicmd" uniqueName="[musicmd]" caption="musicmd"/>
    <dimension name="Range" uniqueName="[Range]" caption="Range"/>
  </dimensions>
  <measureGroups count="2">
    <measureGroup name="musicmd" caption="musicmd"/>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07.05235150463" backgroundQuery="1" createdVersion="8" refreshedVersion="8" minRefreshableVersion="3" recordCount="0" supportSubquery="1" supportAdvancedDrill="1" xr:uid="{4EBC861A-CDAF-46BA-8F63-1D77B7D8F3E8}">
  <cacheSource type="external" connectionId="1"/>
  <cacheFields count="2">
    <cacheField name="[musicmd].[Song Name].[Song Name]" caption="Song Name" numFmtId="0" hierarchy="1" level="1">
      <sharedItems count="10">
        <s v="Aaina"/>
        <s v="Aal Izz Well"/>
        <s v="Aavan Jaavan"/>
        <s v="Achacho"/>
        <s v="Adakachakko"/>
        <s v="Adede Tholiprema"/>
        <s v="Adholokam"/>
        <s v="Aho Balu"/>
        <s v="Akhiyaan Gulaab"/>
        <s v="Yellae Lama"/>
      </sharedItems>
    </cacheField>
    <cacheField name="[Measures].[Count of Views (YouTube)]" caption="Count of Views (YouTube)" numFmtId="0" hierarchy="15" level="32767"/>
  </cacheFields>
  <cacheHierarchies count="16">
    <cacheHierarchy uniqueName="[musicmd].[ID]" caption="ID" attribute="1" defaultMemberUniqueName="[musicmd].[ID].[All]" allUniqueName="[musicmd].[ID].[All]" dimensionUniqueName="[musicmd]" displayFolder="" count="0" memberValueDatatype="130" unbalanced="0"/>
    <cacheHierarchy uniqueName="[musicmd].[Song Name]" caption="Song Name" attribute="1" defaultMemberUniqueName="[musicmd].[Song Name].[All]" allUniqueName="[musicmd].[Song Name].[All]" dimensionUniqueName="[musicmd]" displayFolder="" count="2" memberValueDatatype="130" unbalanced="0">
      <fieldsUsage count="2">
        <fieldUsage x="-1"/>
        <fieldUsage x="0"/>
      </fieldsUsage>
    </cacheHierarchy>
    <cacheHierarchy uniqueName="[musicmd].[Artist Name]" caption="Artist Name" attribute="1" defaultMemberUniqueName="[musicmd].[Artist Name].[All]" allUniqueName="[musicmd].[Artist Name].[All]" dimensionUniqueName="[musicmd]" displayFolder="" count="0" memberValueDatatype="130" unbalanced="0"/>
    <cacheHierarchy uniqueName="[musicmd].[Album Name]" caption="Album Name" attribute="1" defaultMemberUniqueName="[musicmd].[Album Name].[All]" allUniqueName="[musicmd].[Album Name].[All]" dimensionUniqueName="[musicmd]" displayFolder="" count="0" memberValueDatatype="130" unbalanced="0"/>
    <cacheHierarchy uniqueName="[musicmd].[Release Year]" caption="Release Year" attribute="1" defaultMemberUniqueName="[musicmd].[Release Year].[All]" allUniqueName="[musicmd].[Release Year].[All]" dimensionUniqueName="[musicmd]" displayFolder="" count="0" memberValueDatatype="20" unbalanced="0"/>
    <cacheHierarchy uniqueName="[musicmd].[Language]" caption="Language" attribute="1" defaultMemberUniqueName="[musicmd].[Language].[All]" allUniqueName="[musicmd].[Language].[All]" dimensionUniqueName="[musicmd]" displayFolder="" count="0" memberValueDatatype="130" unbalanced="0"/>
    <cacheHierarchy uniqueName="[musicmd].[Genre]" caption="Genre" attribute="1" defaultMemberUniqueName="[musicmd].[Genre].[All]" allUniqueName="[musicmd].[Genre].[All]" dimensionUniqueName="[musicmd]" displayFolder="" count="0" memberValueDatatype="130" unbalanced="0"/>
    <cacheHierarchy uniqueName="[musicmd].[Views (YouTube)]" caption="Views (YouTube)" attribute="1" defaultMemberUniqueName="[musicmd].[Views (YouTube)].[All]" allUniqueName="[musicmd].[Views (YouTube)].[All]" dimensionUniqueName="[musicmd]" displayFolder="" count="0" memberValueDatatype="130" unbalanced="0"/>
    <cacheHierarchy uniqueName="[musicmd].[Performance category]" caption="Performance category" attribute="1" defaultMemberUniqueName="[musicmd].[Performance category].[All]" allUniqueName="[musicmd].[Performance category].[All]" dimensionUniqueName="[musicmd]" displayFolder="" count="0" memberValueDatatype="130" unbalanced="0"/>
    <cacheHierarchy uniqueName="[musicmd].[Revenue Categor]" caption="Revenue Categor" attribute="1" defaultMemberUniqueName="[musicmd].[Revenue Categor].[All]" allUniqueName="[musicmd].[Revenue Categor].[All]" dimensionUniqueName="[musicmd]" displayFolder="" count="0" memberValueDatatype="130" unbalanced="0"/>
    <cacheHierarchy uniqueName="[Range].[Views (YouTube)]" caption="Views (YouTube)" attribute="1" defaultMemberUniqueName="[Range].[Views (YouTube)].[All]" allUniqueName="[Range].[Views (YouTube)].[All]" dimensionUniqueName="[Range]" displayFolder="" count="0" memberValueDatatype="130" unbalanced="0"/>
    <cacheHierarchy uniqueName="[Measures].[__XL_Count musicmd]" caption="__XL_Count musicmd" measure="1" displayFolder="" measureGroup="musicmd"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ong Name]" caption="Count of Song Name" measure="1" displayFolder="" measureGroup="musicmd" count="0" hidden="1">
      <extLst>
        <ext xmlns:x15="http://schemas.microsoft.com/office/spreadsheetml/2010/11/main" uri="{B97F6D7D-B522-45F9-BDA1-12C45D357490}">
          <x15:cacheHierarchy aggregatedColumn="1"/>
        </ext>
      </extLst>
    </cacheHierarchy>
    <cacheHierarchy uniqueName="[Measures].[Count of Views (YouTube)]" caption="Count of Views (YouTube)" measure="1" displayFolder="" measureGroup="musicmd"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musicmd" uniqueName="[musicmd]" caption="musicmd"/>
    <dimension name="Range" uniqueName="[Range]" caption="Range"/>
  </dimensions>
  <measureGroups count="2">
    <measureGroup name="musicmd" caption="musicmd"/>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oj Kumar" refreshedDate="46107.009068402775" backgroundQuery="1" createdVersion="3" refreshedVersion="8" minRefreshableVersion="3" recordCount="0" supportSubquery="1" supportAdvancedDrill="1" xr:uid="{B49915B9-4C6D-49C9-8ADD-7FAE0D9E52E8}">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musicmd].[ID]" caption="ID" attribute="1" defaultMemberUniqueName="[musicmd].[ID].[All]" allUniqueName="[musicmd].[ID].[All]" dimensionUniqueName="[musicmd]" displayFolder="" count="0" memberValueDatatype="130" unbalanced="0"/>
    <cacheHierarchy uniqueName="[musicmd].[Song Name]" caption="Song Name" attribute="1" defaultMemberUniqueName="[musicmd].[Song Name].[All]" allUniqueName="[musicmd].[Song Name].[All]" dimensionUniqueName="[musicmd]" displayFolder="" count="0" memberValueDatatype="130" unbalanced="0"/>
    <cacheHierarchy uniqueName="[musicmd].[Artist Name]" caption="Artist Name" attribute="1" defaultMemberUniqueName="[musicmd].[Artist Name].[All]" allUniqueName="[musicmd].[Artist Name].[All]" dimensionUniqueName="[musicmd]" displayFolder="" count="0" memberValueDatatype="130" unbalanced="0"/>
    <cacheHierarchy uniqueName="[musicmd].[Album Name]" caption="Album Name" attribute="1" defaultMemberUniqueName="[musicmd].[Album Name].[All]" allUniqueName="[musicmd].[Album Name].[All]" dimensionUniqueName="[musicmd]" displayFolder="" count="0" memberValueDatatype="130" unbalanced="0"/>
    <cacheHierarchy uniqueName="[musicmd].[Release Year]" caption="Release Year" attribute="1" defaultMemberUniqueName="[musicmd].[Release Year].[All]" allUniqueName="[musicmd].[Release Year].[All]" dimensionUniqueName="[musicmd]" displayFolder="" count="0" memberValueDatatype="20" unbalanced="0"/>
    <cacheHierarchy uniqueName="[musicmd].[Language]" caption="Language" attribute="1" defaultMemberUniqueName="[musicmd].[Language].[All]" allUniqueName="[musicmd].[Language].[All]" dimensionUniqueName="[musicmd]" displayFolder="" count="0" memberValueDatatype="130" unbalanced="0"/>
    <cacheHierarchy uniqueName="[musicmd].[Genre]" caption="Genre" attribute="1" defaultMemberUniqueName="[musicmd].[Genre].[All]" allUniqueName="[musicmd].[Genre].[All]" dimensionUniqueName="[musicmd]" displayFolder="" count="0" memberValueDatatype="130" unbalanced="0"/>
    <cacheHierarchy uniqueName="[musicmd].[Views (YouTube)]" caption="Views (YouTube)" attribute="1" defaultMemberUniqueName="[musicmd].[Views (YouTube)].[All]" allUniqueName="[musicmd].[Views (YouTube)].[All]" dimensionUniqueName="[musicmd]" displayFolder="" count="0" memberValueDatatype="130" unbalanced="0"/>
    <cacheHierarchy uniqueName="[musicmd].[Performance category]" caption="Performance category" attribute="1" defaultMemberUniqueName="[musicmd].[Performance category].[All]" allUniqueName="[musicmd].[Performance category].[All]" dimensionUniqueName="[musicmd]" displayFolder="" count="0" memberValueDatatype="130" unbalanced="0"/>
    <cacheHierarchy uniqueName="[musicmd].[Revenue Categor]" caption="Revenue Categor" attribute="1" defaultMemberUniqueName="[musicmd].[Revenue Categor].[All]" allUniqueName="[musicmd].[Revenue Categor].[All]" dimensionUniqueName="[musicmd]" displayFolder="" count="0" memberValueDatatype="130" unbalanced="0"/>
    <cacheHierarchy uniqueName="[Range].[Views (YouTube)]" caption="Views (YouTube)" attribute="1" defaultMemberUniqueName="[Range].[Views (YouTube)].[All]" allUniqueName="[Range].[Views (YouTube)].[All]" dimensionUniqueName="[Range]" displayFolder="" count="0" memberValueDatatype="130" unbalanced="0"/>
    <cacheHierarchy uniqueName="[Measures].[__XL_Count musicmd]" caption="__XL_Count musicmd" measure="1" displayFolder="" measureGroup="musicmd"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ong Name]" caption="Count of Song Name" measure="1" displayFolder="" measureGroup="musicmd" count="0" hidden="1">
      <extLst>
        <ext xmlns:x15="http://schemas.microsoft.com/office/spreadsheetml/2010/11/main" uri="{B97F6D7D-B522-45F9-BDA1-12C45D357490}">
          <x15:cacheHierarchy aggregatedColumn="1"/>
        </ext>
      </extLst>
    </cacheHierarchy>
    <cacheHierarchy uniqueName="[Measures].[Count of Views (YouTube)]" caption="Count of Views (YouTube)" measure="1" displayFolder="" measureGroup="musicmd"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musicmd" uniqueName="[musicmd]" caption="musicmd"/>
    <dimension name="Range" uniqueName="[Range]" caption="Range"/>
  </dimensions>
  <measureGroups count="2">
    <measureGroup name="musicmd" caption="musicmd"/>
    <measureGroup name="Range" caption="Range"/>
  </measureGroups>
  <maps count="2">
    <map measureGroup="0" dimension="1"/>
    <map measureGroup="1" dimension="2"/>
  </maps>
  <extLst>
    <ext xmlns:x14="http://schemas.microsoft.com/office/spreadsheetml/2009/9/main" uri="{725AE2AE-9491-48be-B2B4-4EB974FC3084}">
      <x14:pivotCacheDefinition slicerData="1" pivotCacheId="50379193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s v="TEL001"/>
    <s v="O Sayonara"/>
    <x v="0"/>
    <x v="0"/>
    <n v="2014"/>
    <x v="0"/>
    <x v="0"/>
  </r>
  <r>
    <s v="TEL002"/>
    <s v="You're My Love"/>
    <x v="1"/>
    <x v="0"/>
    <n v="2014"/>
    <x v="0"/>
    <x v="1"/>
  </r>
  <r>
    <s v="TEL003"/>
    <s v="Who Are You?"/>
    <x v="2"/>
    <x v="0"/>
    <n v="2014"/>
    <x v="0"/>
    <x v="2"/>
  </r>
  <r>
    <s v="TEL004"/>
    <s v="Aho Balu"/>
    <x v="3"/>
    <x v="1"/>
    <n v="2011"/>
    <x v="0"/>
    <x v="3"/>
  </r>
  <r>
    <s v="TEL005"/>
    <s v="Infatuation"/>
    <x v="4"/>
    <x v="1"/>
    <n v="2011"/>
    <x v="0"/>
    <x v="1"/>
  </r>
  <r>
    <s v="TEL006"/>
    <s v="Thiru Thiru Gananadha"/>
    <x v="5"/>
    <x v="1"/>
    <n v="2011"/>
    <x v="0"/>
    <x v="4"/>
  </r>
  <r>
    <s v="TEL007"/>
    <s v="Yedhalo Oka Mounam (The Innocence of Love)"/>
    <x v="6"/>
    <x v="2"/>
    <n v="2012"/>
    <x v="0"/>
    <x v="1"/>
  </r>
  <r>
    <s v="TEL008"/>
    <s v="Kannuladha (The Kiss of Love)"/>
    <x v="7"/>
    <x v="2"/>
    <n v="2012"/>
    <x v="0"/>
    <x v="0"/>
  </r>
  <r>
    <s v="TEL009"/>
    <s v="Po Ve Po (The Pain of Love)"/>
    <x v="8"/>
    <x v="2"/>
    <n v="2012"/>
    <x v="0"/>
    <x v="5"/>
  </r>
  <r>
    <s v="TEL010"/>
    <s v="Oo Antava Oo Oo Antava"/>
    <x v="9"/>
    <x v="3"/>
    <n v="2021"/>
    <x v="0"/>
    <x v="6"/>
  </r>
  <r>
    <s v="TEL011"/>
    <s v="Eyy Bidda Idhi Naa Adda"/>
    <x v="10"/>
    <x v="3"/>
    <n v="2021"/>
    <x v="0"/>
    <x v="7"/>
  </r>
  <r>
    <s v="TEL012"/>
    <s v="Daakko Daakko Meka"/>
    <x v="11"/>
    <x v="3"/>
    <n v="2021"/>
    <x v="0"/>
    <x v="8"/>
  </r>
  <r>
    <s v="TEL013"/>
    <s v="Saami Saami"/>
    <x v="12"/>
    <x v="3"/>
    <n v="2021"/>
    <x v="0"/>
    <x v="1"/>
  </r>
  <r>
    <s v="TEL014"/>
    <s v="Why This Kolaveri Di? (The Soup of Love)"/>
    <x v="13"/>
    <x v="2"/>
    <n v="2012"/>
    <x v="0"/>
    <x v="8"/>
  </r>
  <r>
    <s v="TEL015"/>
    <s v="Muthyala Dhaarani"/>
    <x v="14"/>
    <x v="4"/>
    <n v="2011"/>
    <x v="0"/>
    <x v="9"/>
  </r>
  <r>
    <s v="TEL016"/>
    <s v="Yellae Lama"/>
    <x v="15"/>
    <x v="4"/>
    <n v="2011"/>
    <x v="0"/>
    <x v="10"/>
  </r>
  <r>
    <s v="TEL017"/>
    <s v="Amma Amma"/>
    <x v="16"/>
    <x v="4"/>
    <n v="2011"/>
    <x v="0"/>
    <x v="5"/>
  </r>
  <r>
    <s v="TEL018"/>
    <s v="Nee Paata Madhuram (The Touch of Love)"/>
    <x v="17"/>
    <x v="2"/>
    <n v="2012"/>
    <x v="0"/>
    <x v="5"/>
  </r>
  <r>
    <s v="TEL019"/>
    <s v="Kalalu Kane Kaalaalu"/>
    <x v="18"/>
    <x v="5"/>
    <n v="2004"/>
    <x v="0"/>
    <x v="5"/>
  </r>
  <r>
    <s v="TEL020"/>
    <s v="Kannula Baasalu"/>
    <x v="19"/>
    <x v="5"/>
    <n v="2004"/>
    <x v="0"/>
    <x v="5"/>
  </r>
  <r>
    <s v="TEL021"/>
    <s v="Mem Vayasuku Vacham"/>
    <x v="20"/>
    <x v="5"/>
    <n v="2004"/>
    <x v="0"/>
    <x v="11"/>
  </r>
  <r>
    <s v="TEL022"/>
    <s v="Thalachi Thalachi (Male)"/>
    <x v="21"/>
    <x v="5"/>
    <n v="2004"/>
    <x v="0"/>
    <x v="5"/>
  </r>
  <r>
    <s v="TEL023"/>
    <s v="Swathi Reddy"/>
    <x v="22"/>
    <x v="6"/>
    <n v="2025"/>
    <x v="0"/>
    <x v="12"/>
  </r>
  <r>
    <s v="TEL024"/>
    <s v="Amigo"/>
    <x v="23"/>
    <x v="7"/>
    <n v="2021"/>
    <x v="0"/>
    <x v="13"/>
  </r>
  <r>
    <s v="TEL025"/>
    <s v="Single Kingulam"/>
    <x v="24"/>
    <x v="7"/>
    <n v="2021"/>
    <x v="0"/>
    <x v="8"/>
  </r>
  <r>
    <s v="TEL026"/>
    <s v="Adede Tholiprema"/>
    <x v="25"/>
    <x v="8"/>
    <n v="2013"/>
    <x v="0"/>
    <x v="1"/>
  </r>
  <r>
    <s v="TEL027"/>
    <s v="Naari Naari"/>
    <x v="26"/>
    <x v="9"/>
    <n v="2014"/>
    <x v="0"/>
    <x v="8"/>
  </r>
  <r>
    <s v="TEL028"/>
    <s v="Junction Lo"/>
    <x v="27"/>
    <x v="9"/>
    <n v="2014"/>
    <x v="0"/>
    <x v="6"/>
  </r>
  <r>
    <s v="TEL029"/>
    <s v="Hoyna"/>
    <x v="28"/>
    <x v="10"/>
    <n v="2007"/>
    <x v="0"/>
    <x v="1"/>
  </r>
  <r>
    <s v="TEL030"/>
    <s v="Ninu Choosthunte"/>
    <x v="29"/>
    <x v="10"/>
    <n v="2007"/>
    <x v="0"/>
    <x v="14"/>
  </r>
  <r>
    <s v="TEL031"/>
    <s v="Malli Malli"/>
    <x v="30"/>
    <x v="11"/>
    <n v="2023"/>
    <x v="0"/>
    <x v="9"/>
  </r>
  <r>
    <s v="TEL032"/>
    <s v="Padessavae"/>
    <x v="31"/>
    <x v="12"/>
    <n v="2015"/>
    <x v="0"/>
    <x v="9"/>
  </r>
  <r>
    <s v="TEL033"/>
    <s v="Zara Zaraa Navvaradhe"/>
    <x v="32"/>
    <x v="12"/>
    <n v="2015"/>
    <x v="0"/>
    <x v="12"/>
  </r>
  <r>
    <s v="TEL034"/>
    <s v="Nennekkadunte (Energy)"/>
    <x v="33"/>
    <x v="12"/>
    <n v="2015"/>
    <x v="0"/>
    <x v="7"/>
  </r>
  <r>
    <s v="TEL035"/>
    <s v="Hey Akhil"/>
    <x v="34"/>
    <x v="12"/>
    <n v="2015"/>
    <x v="0"/>
    <x v="9"/>
  </r>
  <r>
    <s v="TEL036"/>
    <s v="Ammayi (Telugu)"/>
    <x v="35"/>
    <x v="13"/>
    <n v="2023"/>
    <x v="0"/>
    <x v="9"/>
  </r>
  <r>
    <s v="TEL037"/>
    <s v="Evarevaro"/>
    <x v="36"/>
    <x v="13"/>
    <n v="2023"/>
    <x v="0"/>
    <x v="9"/>
  </r>
  <r>
    <s v="TEL038"/>
    <s v="Naaku Neeku Nokia"/>
    <x v="37"/>
    <x v="14"/>
    <n v="2009"/>
    <x v="0"/>
    <x v="1"/>
  </r>
  <r>
    <s v="TEL039"/>
    <s v="Kondakaki"/>
    <x v="38"/>
    <x v="14"/>
    <n v="2009"/>
    <x v="0"/>
    <x v="15"/>
  </r>
  <r>
    <s v="TEL040"/>
    <s v="Pilichina Ranantava"/>
    <x v="39"/>
    <x v="15"/>
    <n v="2005"/>
    <x v="0"/>
    <x v="14"/>
  </r>
  <r>
    <s v="TEL041"/>
    <s v="Avunu NIzam"/>
    <x v="40"/>
    <x v="15"/>
    <n v="2005"/>
    <x v="0"/>
    <x v="14"/>
  </r>
  <r>
    <s v="TEL042"/>
    <s v="Chandamama"/>
    <x v="41"/>
    <x v="15"/>
    <n v="2005"/>
    <x v="0"/>
    <x v="14"/>
  </r>
  <r>
    <s v="TEL043"/>
    <s v="Amba Dari"/>
    <x v="42"/>
    <x v="16"/>
    <n v="2011"/>
    <x v="0"/>
    <x v="1"/>
  </r>
  <r>
    <s v="TEL044"/>
    <s v="Dheevara"/>
    <x v="43"/>
    <x v="17"/>
    <n v="2015"/>
    <x v="0"/>
    <x v="9"/>
  </r>
  <r>
    <s v="TEL045"/>
    <s v="Manohari"/>
    <x v="44"/>
    <x v="17"/>
    <n v="2015"/>
    <x v="0"/>
    <x v="6"/>
  </r>
  <r>
    <s v="TEL046"/>
    <s v="Pacha Bottesi"/>
    <x v="45"/>
    <x v="17"/>
    <n v="2015"/>
    <x v="0"/>
    <x v="9"/>
  </r>
  <r>
    <s v="TEL047"/>
    <s v="Yaevaindho"/>
    <x v="46"/>
    <x v="17"/>
    <n v="2015"/>
    <x v="0"/>
    <x v="1"/>
  </r>
  <r>
    <s v="TEL048"/>
    <s v="Kajalu Chellivaa"/>
    <x v="47"/>
    <x v="17"/>
    <n v="2015"/>
    <x v="0"/>
    <x v="9"/>
  </r>
  <r>
    <s v="TEL049"/>
    <s v="O Pilla Pilla"/>
    <x v="48"/>
    <x v="18"/>
    <n v="2013"/>
    <x v="0"/>
    <x v="1"/>
  </r>
  <r>
    <s v="TEL050"/>
    <s v="Chanti Pillala"/>
    <x v="49"/>
    <x v="19"/>
    <n v="2023"/>
    <x v="0"/>
    <x v="5"/>
  </r>
  <r>
    <s v="HIN001"/>
    <s v="Har Kisi Ko"/>
    <x v="50"/>
    <x v="20"/>
    <n v="2013"/>
    <x v="1"/>
    <x v="9"/>
  </r>
  <r>
    <s v="HIN002"/>
    <s v="Party All Night"/>
    <x v="51"/>
    <x v="20"/>
    <n v="2013"/>
    <x v="1"/>
    <x v="16"/>
  </r>
  <r>
    <s v="HIN003"/>
    <s v="Slow Motion"/>
    <x v="52"/>
    <x v="21"/>
    <n v="2019"/>
    <x v="1"/>
    <x v="12"/>
  </r>
  <r>
    <s v="HIN004"/>
    <s v="Lungi Dance"/>
    <x v="53"/>
    <x v="22"/>
    <n v="2013"/>
    <x v="1"/>
    <x v="16"/>
  </r>
  <r>
    <s v="HIN005"/>
    <s v="Chura Liya"/>
    <x v="54"/>
    <x v="23"/>
    <n v="2021"/>
    <x v="1"/>
    <x v="9"/>
  </r>
  <r>
    <s v="HIN006"/>
    <s v="Sun Zara"/>
    <x v="55"/>
    <x v="24"/>
    <n v="2022"/>
    <x v="1"/>
    <x v="1"/>
  </r>
  <r>
    <s v="HIN007"/>
    <s v="Tera Naam Japdi Phiran"/>
    <x v="56"/>
    <x v="25"/>
    <n v="2012"/>
    <x v="1"/>
    <x v="5"/>
  </r>
  <r>
    <s v="HIN008"/>
    <s v="Second Hand Jawaani"/>
    <x v="57"/>
    <x v="25"/>
    <n v="2012"/>
    <x v="1"/>
    <x v="17"/>
  </r>
  <r>
    <s v="HIN009"/>
    <s v="Mast Magan"/>
    <x v="58"/>
    <x v="26"/>
    <n v="2014"/>
    <x v="1"/>
    <x v="9"/>
  </r>
  <r>
    <s v="HIN010"/>
    <s v="Aal Izz Well"/>
    <x v="59"/>
    <x v="27"/>
    <n v="2009"/>
    <x v="1"/>
    <x v="3"/>
  </r>
  <r>
    <s v="HIN011"/>
    <s v="Raataan Lambiyan"/>
    <x v="60"/>
    <x v="28"/>
    <n v="2021"/>
    <x v="1"/>
    <x v="9"/>
  </r>
  <r>
    <s v="HIN012"/>
    <s v="Khuda Haafiz"/>
    <x v="61"/>
    <x v="29"/>
    <n v="2019"/>
    <x v="1"/>
    <x v="5"/>
  </r>
  <r>
    <s v="HIN013"/>
    <s v="Aaina"/>
    <x v="62"/>
    <x v="29"/>
    <n v="2019"/>
    <x v="1"/>
    <x v="14"/>
  </r>
  <r>
    <s v="HIN014"/>
    <s v="Main Janta Hoon"/>
    <x v="63"/>
    <x v="29"/>
    <n v="2019"/>
    <x v="1"/>
    <x v="5"/>
  </r>
  <r>
    <s v="HIN015"/>
    <s v="Tere Siva Jag Mein"/>
    <x v="64"/>
    <x v="30"/>
    <n v="2021"/>
    <x v="1"/>
    <x v="14"/>
  </r>
  <r>
    <s v="HIN016"/>
    <s v="Tu Mera Hogaya Hai"/>
    <x v="65"/>
    <x v="30"/>
    <n v="2021"/>
    <x v="1"/>
    <x v="1"/>
  </r>
  <r>
    <s v="HIN017"/>
    <s v="Tumse Bhi Zyada"/>
    <x v="66"/>
    <x v="30"/>
    <n v="2021"/>
    <x v="1"/>
    <x v="9"/>
  </r>
  <r>
    <s v="HIN018"/>
    <s v="Gallan"/>
    <x v="67"/>
    <x v="31"/>
    <n v="2024"/>
    <x v="1"/>
    <x v="1"/>
  </r>
  <r>
    <s v="HIN019"/>
    <s v="Akhiyaan Gulaab"/>
    <x v="68"/>
    <x v="31"/>
    <n v="2024"/>
    <x v="1"/>
    <x v="9"/>
  </r>
  <r>
    <s v="HIN020"/>
    <s v="Tum Se"/>
    <x v="69"/>
    <x v="31"/>
    <n v="2024"/>
    <x v="1"/>
    <x v="9"/>
  </r>
  <r>
    <s v="HIN021"/>
    <s v="Manike"/>
    <x v="70"/>
    <x v="32"/>
    <n v="2022"/>
    <x v="1"/>
    <x v="1"/>
  </r>
  <r>
    <s v="HIN022"/>
    <s v="Tere Pyaar Mein"/>
    <x v="71"/>
    <x v="33"/>
    <n v="2023"/>
    <x v="1"/>
    <x v="9"/>
  </r>
  <r>
    <s v="HIN023"/>
    <s v="Chal Maar"/>
    <x v="72"/>
    <x v="34"/>
    <n v="2016"/>
    <x v="1"/>
    <x v="12"/>
  </r>
  <r>
    <s v="HIN024"/>
    <s v="Chalte Chalte"/>
    <x v="73"/>
    <x v="34"/>
    <n v="2016"/>
    <x v="1"/>
    <x v="1"/>
  </r>
  <r>
    <s v="HIN025"/>
    <s v="Dil Ke Paas"/>
    <x v="74"/>
    <x v="35"/>
    <n v="2016"/>
    <x v="1"/>
    <x v="9"/>
  </r>
  <r>
    <s v="HIN026"/>
    <s v="Ghungroo"/>
    <x v="75"/>
    <x v="36"/>
    <n v="2019"/>
    <x v="1"/>
    <x v="12"/>
  </r>
  <r>
    <s v="HIN027"/>
    <s v="Janaab-E-Aali"/>
    <x v="76"/>
    <x v="37"/>
    <n v="2025"/>
    <x v="1"/>
    <x v="12"/>
  </r>
  <r>
    <s v="HIN028"/>
    <s v="Aavan Jaavan"/>
    <x v="71"/>
    <x v="37"/>
    <n v="2025"/>
    <x v="1"/>
    <x v="14"/>
  </r>
  <r>
    <s v="HIN029"/>
    <s v="Mumbai Ke Hero"/>
    <x v="77"/>
    <x v="38"/>
    <n v="2013"/>
    <x v="1"/>
    <x v="18"/>
  </r>
  <r>
    <s v="HIN030"/>
    <s v="Lamha Tera Mera"/>
    <x v="78"/>
    <x v="38"/>
    <n v="2013"/>
    <x v="1"/>
    <x v="1"/>
  </r>
  <r>
    <s v="HIN031"/>
    <s v="Kesariya"/>
    <x v="79"/>
    <x v="39"/>
    <n v="2022"/>
    <x v="1"/>
    <x v="9"/>
  </r>
  <r>
    <s v="HIN032"/>
    <s v="Rasiya"/>
    <x v="80"/>
    <x v="39"/>
    <n v="2022"/>
    <x v="1"/>
    <x v="19"/>
  </r>
  <r>
    <s v="HIN033"/>
    <s v="Deva Deva"/>
    <x v="79"/>
    <x v="39"/>
    <n v="2022"/>
    <x v="1"/>
    <x v="4"/>
  </r>
  <r>
    <s v="HIN034"/>
    <s v="Deedar De"/>
    <x v="81"/>
    <x v="40"/>
    <n v="2020"/>
    <x v="1"/>
    <x v="18"/>
  </r>
  <r>
    <s v="HIN035"/>
    <s v="Khairiyat (Happy)"/>
    <x v="66"/>
    <x v="41"/>
    <n v="2019"/>
    <x v="1"/>
    <x v="9"/>
  </r>
  <r>
    <s v="HIN036"/>
    <s v="Control"/>
    <x v="82"/>
    <x v="41"/>
    <n v="2019"/>
    <x v="1"/>
    <x v="20"/>
  </r>
  <r>
    <s v="HIN037"/>
    <s v="Current Laga Re"/>
    <x v="83"/>
    <x v="24"/>
    <n v="2022"/>
    <x v="1"/>
    <x v="18"/>
  </r>
  <r>
    <s v="HIN038"/>
    <s v="Tera Baap Aaya"/>
    <x v="84"/>
    <x v="42"/>
    <n v="2019"/>
    <x v="1"/>
    <x v="21"/>
  </r>
  <r>
    <s v="HIN039"/>
    <s v="Sawan Aaya Hai"/>
    <x v="85"/>
    <x v="43"/>
    <n v="2014"/>
    <x v="1"/>
    <x v="19"/>
  </r>
  <r>
    <s v="HIN040"/>
    <s v="Dhoom Machale"/>
    <x v="86"/>
    <x v="44"/>
    <n v="2004"/>
    <x v="1"/>
    <x v="22"/>
  </r>
  <r>
    <s v="HIN041"/>
    <s v="Dhoom Again"/>
    <x v="87"/>
    <x v="45"/>
    <n v="2006"/>
    <x v="1"/>
    <x v="22"/>
  </r>
  <r>
    <s v="HIN042"/>
    <s v="Crazy Kiya Re"/>
    <x v="86"/>
    <x v="45"/>
    <n v="2006"/>
    <x v="1"/>
    <x v="23"/>
  </r>
  <r>
    <s v="HIN043"/>
    <s v="Ishq Jalakar - Karvaan"/>
    <x v="88"/>
    <x v="46"/>
    <n v="2025"/>
    <x v="1"/>
    <x v="24"/>
  </r>
  <r>
    <s v="HIN044"/>
    <s v="Shararat"/>
    <x v="89"/>
    <x v="46"/>
    <n v="2025"/>
    <x v="1"/>
    <x v="23"/>
  </r>
  <r>
    <s v="HIN045"/>
    <s v="Gehra Hua"/>
    <x v="90"/>
    <x v="46"/>
    <n v="2025"/>
    <x v="1"/>
    <x v="9"/>
  </r>
  <r>
    <s v="HIN046"/>
    <s v="Dil Galti Kar Baitha Hai"/>
    <x v="91"/>
    <x v="47"/>
    <n v="2021"/>
    <x v="1"/>
    <x v="13"/>
  </r>
  <r>
    <s v="HIN047"/>
    <s v="Qayamat"/>
    <x v="92"/>
    <x v="48"/>
    <n v="2025"/>
    <x v="1"/>
    <x v="18"/>
  </r>
  <r>
    <s v="HIN048"/>
    <s v="Ek Do Teen"/>
    <x v="93"/>
    <x v="49"/>
    <n v="2018"/>
    <x v="1"/>
    <x v="23"/>
  </r>
  <r>
    <s v="HIN049"/>
    <s v="Soniye Dil Nayi"/>
    <x v="94"/>
    <x v="49"/>
    <n v="2018"/>
    <x v="1"/>
    <x v="9"/>
  </r>
  <r>
    <s v="HIN050"/>
    <s v="Sab Tera"/>
    <x v="95"/>
    <x v="50"/>
    <n v="2016"/>
    <x v="1"/>
    <x v="9"/>
  </r>
  <r>
    <s v="TAM001"/>
    <s v="Monica"/>
    <x v="96"/>
    <x v="51"/>
    <n v="2025"/>
    <x v="2"/>
    <x v="25"/>
  </r>
  <r>
    <s v="TAM002"/>
    <s v="Head Up High"/>
    <x v="97"/>
    <x v="52"/>
    <n v="2023"/>
    <x v="2"/>
    <x v="26"/>
  </r>
  <r>
    <s v="TAM003"/>
    <s v="Ammani Rukkumani"/>
    <x v="98"/>
    <x v="52"/>
    <n v="2023"/>
    <x v="2"/>
    <x v="15"/>
  </r>
  <r>
    <s v="TAM004"/>
    <s v="Endhira Logathu Sundariye"/>
    <x v="99"/>
    <x v="53"/>
    <n v="2018"/>
    <x v="2"/>
    <x v="10"/>
  </r>
  <r>
    <s v="TAM005"/>
    <s v="Naan Un"/>
    <x v="100"/>
    <x v="54"/>
    <n v="2016"/>
    <x v="2"/>
    <x v="14"/>
  </r>
  <r>
    <s v="TAM006"/>
    <s v="Kaalam Yen Kadhali"/>
    <x v="101"/>
    <x v="54"/>
    <n v="2016"/>
    <x v="2"/>
    <x v="27"/>
  </r>
  <r>
    <s v="TAM007"/>
    <s v="Punnagaye"/>
    <x v="102"/>
    <x v="54"/>
    <n v="2016"/>
    <x v="2"/>
    <x v="9"/>
  </r>
  <r>
    <s v="TAM008"/>
    <s v="Mei Nigara"/>
    <x v="103"/>
    <x v="54"/>
    <n v="2016"/>
    <x v="2"/>
    <x v="9"/>
  </r>
  <r>
    <s v="TAM009"/>
    <s v="Idhazhin Oram (The Innocence of Love)"/>
    <x v="104"/>
    <x v="2"/>
    <n v="2012"/>
    <x v="2"/>
    <x v="1"/>
  </r>
  <r>
    <s v="TAM010"/>
    <s v="Oh Ringa Ringa"/>
    <x v="105"/>
    <x v="55"/>
    <n v="2011"/>
    <x v="2"/>
    <x v="10"/>
  </r>
  <r>
    <s v="TAM011"/>
    <s v="Mun Andhi"/>
    <x v="106"/>
    <x v="55"/>
    <n v="2011"/>
    <x v="2"/>
    <x v="9"/>
  </r>
  <r>
    <s v="TAM012"/>
    <s v="Yellae Lama"/>
    <x v="107"/>
    <x v="55"/>
    <n v="2011"/>
    <x v="2"/>
    <x v="10"/>
  </r>
  <r>
    <s v="TAM013"/>
    <s v="Hasili Fisiliye"/>
    <x v="108"/>
    <x v="56"/>
    <n v="2009"/>
    <x v="2"/>
    <x v="14"/>
  </r>
  <r>
    <s v="TAM014"/>
    <s v="Damakku Damakku"/>
    <x v="109"/>
    <x v="56"/>
    <n v="2009"/>
    <x v="2"/>
    <x v="28"/>
  </r>
  <r>
    <s v="TAM015"/>
    <s v="Vaarayo Vaarayo"/>
    <x v="110"/>
    <x v="56"/>
    <n v="2009"/>
    <x v="2"/>
    <x v="1"/>
  </r>
  <r>
    <s v="TAM016"/>
    <s v="Yeno Yeno Panithuli"/>
    <x v="111"/>
    <x v="56"/>
    <n v="2009"/>
    <x v="2"/>
    <x v="9"/>
  </r>
  <r>
    <s v="TAM017"/>
    <s v="Vaa Vaa Vaa Vennila"/>
    <x v="112"/>
    <x v="57"/>
    <n v="2015"/>
    <x v="2"/>
    <x v="14"/>
  </r>
  <r>
    <s v="TAM018"/>
    <s v="Madras To Madurai"/>
    <x v="113"/>
    <x v="57"/>
    <n v="2015"/>
    <x v="2"/>
    <x v="6"/>
  </r>
  <r>
    <s v="TAM019"/>
    <s v="Pazhagikalam"/>
    <x v="114"/>
    <x v="57"/>
    <n v="2015"/>
    <x v="2"/>
    <x v="28"/>
  </r>
  <r>
    <s v="TAM020"/>
    <s v="Arabic Kuthu - Halamithi Habibo"/>
    <x v="115"/>
    <x v="58"/>
    <n v="2022"/>
    <x v="2"/>
    <x v="28"/>
  </r>
  <r>
    <s v="TAM021"/>
    <s v="Oo Solriya Oo Oo Solriya"/>
    <x v="116"/>
    <x v="3"/>
    <n v="2021"/>
    <x v="2"/>
    <x v="23"/>
  </r>
  <r>
    <s v="TAM022"/>
    <s v="Jessica"/>
    <x v="117"/>
    <x v="59"/>
    <n v="2022"/>
    <x v="2"/>
    <x v="1"/>
  </r>
  <r>
    <s v="TAM023"/>
    <s v="Kalloorum Poove"/>
    <x v="118"/>
    <x v="60"/>
    <n v="2023"/>
    <x v="2"/>
    <x v="14"/>
  </r>
  <r>
    <s v="TAM024"/>
    <s v="Nana Buluku"/>
    <x v="119"/>
    <x v="60"/>
    <n v="2023"/>
    <x v="2"/>
    <x v="23"/>
  </r>
  <r>
    <s v="TAM025"/>
    <s v="Koyil Silaye"/>
    <x v="120"/>
    <x v="60"/>
    <n v="2023"/>
    <x v="2"/>
    <x v="5"/>
  </r>
  <r>
    <s v="TAM026"/>
    <s v="Oru Kan Jaadai"/>
    <x v="121"/>
    <x v="61"/>
    <n v="2014"/>
    <x v="2"/>
    <x v="1"/>
  </r>
  <r>
    <s v="TAM027"/>
    <s v="Achacho"/>
    <x v="122"/>
    <x v="62"/>
    <n v="2024"/>
    <x v="2"/>
    <x v="23"/>
  </r>
  <r>
    <s v="TAM028"/>
    <s v="Mazhai Megam"/>
    <x v="123"/>
    <x v="63"/>
    <n v="2017"/>
    <x v="2"/>
    <x v="14"/>
  </r>
  <r>
    <s v="TAM029"/>
    <s v="Nahna Na Nah"/>
    <x v="124"/>
    <x v="64"/>
    <n v="2013"/>
    <x v="2"/>
    <x v="25"/>
  </r>
  <r>
    <s v="TAM030"/>
    <s v="Pathala"/>
    <x v="125"/>
    <x v="65"/>
    <n v="2021"/>
    <x v="2"/>
    <x v="9"/>
  </r>
  <r>
    <s v="TAM031"/>
    <s v="Tum Tum"/>
    <x v="126"/>
    <x v="65"/>
    <n v="2021"/>
    <x v="2"/>
    <x v="18"/>
  </r>
  <r>
    <s v="TAM032"/>
    <s v="Arima Arima"/>
    <x v="127"/>
    <x v="66"/>
    <n v="2010"/>
    <x v="2"/>
    <x v="29"/>
  </r>
  <r>
    <s v="TAM033"/>
    <s v="Irumbile Oru Idhaiyam"/>
    <x v="128"/>
    <x v="66"/>
    <n v="2010"/>
    <x v="2"/>
    <x v="30"/>
  </r>
  <r>
    <s v="TAM034"/>
    <s v="Kadhal Anukkal"/>
    <x v="129"/>
    <x v="66"/>
    <n v="2010"/>
    <x v="2"/>
    <x v="31"/>
  </r>
  <r>
    <s v="TAM035"/>
    <s v="Kilimanjaro"/>
    <x v="130"/>
    <x v="66"/>
    <n v="2010"/>
    <x v="2"/>
    <x v="10"/>
  </r>
  <r>
    <s v="TAM036"/>
    <s v="Oru Maalai"/>
    <x v="131"/>
    <x v="67"/>
    <n v="2005"/>
    <x v="2"/>
    <x v="9"/>
  </r>
  <r>
    <s v="TAM037"/>
    <s v="Rahathulla"/>
    <x v="132"/>
    <x v="67"/>
    <n v="2005"/>
    <x v="2"/>
    <x v="18"/>
  </r>
  <r>
    <s v="TAM038"/>
    <s v="X-Machi"/>
    <x v="133"/>
    <x v="67"/>
    <n v="2005"/>
    <x v="2"/>
    <x v="18"/>
  </r>
  <r>
    <s v="TAM039"/>
    <s v="Halena"/>
    <x v="134"/>
    <x v="68"/>
    <n v="2016"/>
    <x v="2"/>
    <x v="31"/>
  </r>
  <r>
    <s v="TAM040"/>
    <s v="Oh Maya"/>
    <x v="135"/>
    <x v="68"/>
    <n v="2016"/>
    <x v="2"/>
    <x v="14"/>
  </r>
  <r>
    <s v="TAM041"/>
    <s v="Kannai Vittu"/>
    <x v="136"/>
    <x v="68"/>
    <n v="2016"/>
    <x v="2"/>
    <x v="14"/>
  </r>
  <r>
    <s v="TAM042"/>
    <s v="Enakke Enakkaa"/>
    <x v="137"/>
    <x v="69"/>
    <n v="1998"/>
    <x v="2"/>
    <x v="9"/>
  </r>
  <r>
    <s v="TAM043"/>
    <s v="Poovukkul"/>
    <x v="138"/>
    <x v="69"/>
    <n v="1998"/>
    <x v="2"/>
    <x v="1"/>
  </r>
  <r>
    <s v="TAM044"/>
    <s v="Maya Nadhi"/>
    <x v="139"/>
    <x v="70"/>
    <n v="2016"/>
    <x v="2"/>
    <x v="32"/>
  </r>
  <r>
    <s v="TAM045"/>
    <s v="Neruppu Da"/>
    <x v="140"/>
    <x v="70"/>
    <n v="2016"/>
    <x v="2"/>
    <x v="33"/>
  </r>
  <r>
    <s v="TAM046"/>
    <s v="Yolo"/>
    <x v="141"/>
    <x v="71"/>
    <n v="2024"/>
    <x v="2"/>
    <x v="10"/>
  </r>
  <r>
    <s v="TAM047"/>
    <s v="Ennai Vittu"/>
    <x v="142"/>
    <x v="72"/>
    <n v="2022"/>
    <x v="2"/>
    <x v="5"/>
  </r>
  <r>
    <s v="TAM048"/>
    <s v="Saachitale"/>
    <x v="143"/>
    <x v="72"/>
    <n v="2022"/>
    <x v="2"/>
    <x v="9"/>
  </r>
  <r>
    <s v="TAM049"/>
    <s v="Rowdy Baby"/>
    <x v="144"/>
    <x v="73"/>
    <n v="2018"/>
    <x v="2"/>
    <x v="8"/>
  </r>
  <r>
    <s v="TAM050"/>
    <s v="Kadhal Valarthen"/>
    <x v="145"/>
    <x v="74"/>
    <n v="2004"/>
    <x v="2"/>
    <x v="5"/>
  </r>
  <r>
    <s v="MAL001"/>
    <s v="Welcome to Hyderabad"/>
    <x v="146"/>
    <x v="75"/>
    <n v="2024"/>
    <x v="3"/>
    <x v="10"/>
  </r>
  <r>
    <s v="MAL002"/>
    <s v="Mini Maharani"/>
    <x v="147"/>
    <x v="75"/>
    <n v="2024"/>
    <x v="3"/>
    <x v="10"/>
  </r>
  <r>
    <s v="MAL003"/>
    <s v="Kutty Kudiye"/>
    <x v="148"/>
    <x v="75"/>
    <n v="2024"/>
    <x v="3"/>
    <x v="9"/>
  </r>
  <r>
    <s v="MAL004"/>
    <s v="Telangana Bommalu"/>
    <x v="149"/>
    <x v="75"/>
    <n v="2024"/>
    <x v="3"/>
    <x v="34"/>
  </r>
  <r>
    <s v="MAL005"/>
    <s v="Illuminati"/>
    <x v="150"/>
    <x v="76"/>
    <n v="2024"/>
    <x v="3"/>
    <x v="28"/>
  </r>
  <r>
    <s v="MAL006"/>
    <s v="Galatta"/>
    <x v="151"/>
    <x v="76"/>
    <n v="2024"/>
    <x v="3"/>
    <x v="35"/>
  </r>
  <r>
    <s v="MAL007"/>
    <s v="Adholokam"/>
    <x v="152"/>
    <x v="76"/>
    <n v="2024"/>
    <x v="3"/>
    <x v="10"/>
  </r>
  <r>
    <s v="MAL008"/>
    <s v="Odimaga"/>
    <x v="153"/>
    <x v="76"/>
    <n v="2024"/>
    <x v="3"/>
    <x v="12"/>
  </r>
  <r>
    <s v="MAL009"/>
    <s v="Armadham"/>
    <x v="154"/>
    <x v="76"/>
    <n v="2024"/>
    <x v="3"/>
    <x v="8"/>
  </r>
  <r>
    <s v="MAL010"/>
    <s v="Kiliye Kiliye - Afrobeat Mix"/>
    <x v="155"/>
    <x v="77"/>
    <n v="2025"/>
    <x v="3"/>
    <x v="36"/>
  </r>
  <r>
    <s v="MAL011"/>
    <s v="Kadavule Pole"/>
    <x v="156"/>
    <x v="78"/>
    <n v="2019"/>
    <x v="3"/>
    <x v="12"/>
  </r>
  <r>
    <s v="MAL012"/>
    <s v="Empuraane"/>
    <x v="157"/>
    <x v="78"/>
    <n v="2019"/>
    <x v="3"/>
    <x v="37"/>
  </r>
  <r>
    <s v="MAL013"/>
    <s v="Adakachakko"/>
    <x v="158"/>
    <x v="79"/>
    <n v="2020"/>
    <x v="3"/>
    <x v="37"/>
  </r>
  <r>
    <s v="MAL014"/>
    <s v="Kalakkatha (Title Song)"/>
    <x v="159"/>
    <x v="79"/>
    <n v="2020"/>
    <x v="3"/>
    <x v="15"/>
  </r>
  <r>
    <s v="MAL015"/>
    <s v="Ariyathariyathe"/>
    <x v="160"/>
    <x v="79"/>
    <n v="2020"/>
    <x v="3"/>
    <x v="32"/>
  </r>
  <r>
    <s v="MAL016"/>
    <s v="Minnalvala"/>
    <x v="161"/>
    <x v="80"/>
    <n v="2025"/>
    <x v="3"/>
    <x v="14"/>
  </r>
  <r>
    <s v="MAL017"/>
    <s v="Kannil Pettole"/>
    <x v="162"/>
    <x v="81"/>
    <n v="2022"/>
    <x v="3"/>
    <x v="10"/>
  </r>
  <r>
    <s v="MAL018"/>
    <s v="Ole Melody"/>
    <x v="163"/>
    <x v="81"/>
    <n v="2022"/>
    <x v="3"/>
    <x v="16"/>
  </r>
  <r>
    <s v="MAL019"/>
    <s v="Thallumaala Paattu"/>
    <x v="164"/>
    <x v="81"/>
    <n v="2022"/>
    <x v="3"/>
    <x v="38"/>
  </r>
  <r>
    <s v="MAL020"/>
    <s v="Ndaakkippattu"/>
    <x v="165"/>
    <x v="81"/>
    <n v="2022"/>
    <x v="3"/>
    <x v="8"/>
  </r>
  <r>
    <s v="MAL021"/>
    <s v="Manavaalan Thug"/>
    <x v="166"/>
    <x v="81"/>
    <n v="2022"/>
    <x v="3"/>
    <x v="10"/>
  </r>
  <r>
    <s v="MAL022"/>
    <s v="Tupathu"/>
    <x v="167"/>
    <x v="81"/>
    <n v="2022"/>
    <x v="3"/>
    <x v="39"/>
  </r>
  <r>
    <s v="MAL023"/>
    <s v="Chakkarachundil"/>
    <x v="168"/>
    <x v="81"/>
    <n v="2022"/>
    <x v="3"/>
    <x v="8"/>
  </r>
  <r>
    <s v="MAL024"/>
    <s v="Manasakamil - Manavalan Unleashed"/>
    <x v="169"/>
    <x v="81"/>
    <n v="2022"/>
    <x v="3"/>
    <x v="28"/>
  </r>
  <r>
    <s v="MAL025"/>
    <s v="Thoottikkanoda Patha"/>
    <x v="170"/>
    <x v="81"/>
    <n v="2022"/>
    <x v="3"/>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09031-83B7-448C-852A-DDCC68D1457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6:B48" firstHeaderRow="1" firstDataRow="1" firstDataCol="1"/>
  <pivotFields count="7">
    <pivotField showAll="0"/>
    <pivotField dataField="1" showAll="0"/>
    <pivotField showAll="0"/>
    <pivotField showAll="0"/>
    <pivotField showAll="0"/>
    <pivotField axis="axisRow" showAll="0">
      <items count="5">
        <item h="1" x="1"/>
        <item h="1" x="3"/>
        <item x="2"/>
        <item h="1" x="0"/>
        <item t="default"/>
      </items>
    </pivotField>
    <pivotField showAll="0">
      <items count="41">
        <item h="1" x="18"/>
        <item h="1" x="36"/>
        <item h="1" x="4"/>
        <item h="1" x="29"/>
        <item h="1" x="30"/>
        <item h="1" x="15"/>
        <item h="1" x="17"/>
        <item h="1" x="34"/>
        <item h="1" x="27"/>
        <item h="1" x="2"/>
        <item h="1" x="23"/>
        <item h="1" x="6"/>
        <item h="1" x="13"/>
        <item x="8"/>
        <item h="1" x="12"/>
        <item h="1" x="7"/>
        <item h="1" x="21"/>
        <item h="1" x="28"/>
        <item h="1" x="33"/>
        <item h="1" x="32"/>
        <item h="1" x="16"/>
        <item h="1" x="25"/>
        <item h="1" x="26"/>
        <item h="1" x="35"/>
        <item h="1" x="20"/>
        <item h="1" x="10"/>
        <item h="1" x="1"/>
        <item h="1" x="14"/>
        <item h="1" x="39"/>
        <item h="1" x="0"/>
        <item h="1" x="9"/>
        <item h="1" x="19"/>
        <item h="1" x="31"/>
        <item h="1" x="5"/>
        <item h="1" x="24"/>
        <item h="1" x="37"/>
        <item h="1" x="22"/>
        <item h="1" x="38"/>
        <item h="1" x="11"/>
        <item h="1" x="3"/>
        <item t="default"/>
      </items>
    </pivotField>
  </pivotFields>
  <rowFields count="1">
    <field x="5"/>
  </rowFields>
  <rowItems count="2">
    <i>
      <x v="2"/>
    </i>
    <i t="grand">
      <x/>
    </i>
  </rowItems>
  <colItems count="1">
    <i/>
  </colItems>
  <dataFields count="1">
    <dataField name="Count of Song Name" fld="1" subtotal="count" baseField="5" baseItem="0"/>
  </dataFields>
  <chartFormats count="1">
    <chartFormat chart="14"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CAE46-0E08-404C-A6C3-42D78F76E57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44" firstHeaderRow="1" firstDataRow="1" firstDataCol="1"/>
  <pivotFields count="7">
    <pivotField showAll="0"/>
    <pivotField dataField="1" showAll="0"/>
    <pivotField showAll="0"/>
    <pivotField showAll="0"/>
    <pivotField showAll="0"/>
    <pivotField showAll="0"/>
    <pivotField axis="axisRow" showAll="0">
      <items count="41">
        <item x="18"/>
        <item x="36"/>
        <item x="4"/>
        <item x="29"/>
        <item x="30"/>
        <item x="15"/>
        <item x="17"/>
        <item x="34"/>
        <item x="27"/>
        <item x="2"/>
        <item x="23"/>
        <item x="6"/>
        <item x="13"/>
        <item x="8"/>
        <item x="12"/>
        <item x="7"/>
        <item x="21"/>
        <item x="28"/>
        <item x="33"/>
        <item x="32"/>
        <item x="16"/>
        <item x="25"/>
        <item x="26"/>
        <item x="35"/>
        <item x="20"/>
        <item x="10"/>
        <item x="1"/>
        <item x="14"/>
        <item x="39"/>
        <item x="0"/>
        <item x="9"/>
        <item x="19"/>
        <item x="31"/>
        <item x="5"/>
        <item x="24"/>
        <item x="37"/>
        <item x="22"/>
        <item x="38"/>
        <item x="11"/>
        <item x="3"/>
        <item t="default"/>
      </items>
    </pivotField>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Count of Song Name" fld="1" subtotal="count" baseField="0" baseItem="0"/>
  </dataFields>
  <chartFormats count="41">
    <chartFormat chart="16" format="165" series="1">
      <pivotArea type="data" outline="0" fieldPosition="0">
        <references count="1">
          <reference field="4294967294" count="1" selected="0">
            <x v="0"/>
          </reference>
        </references>
      </pivotArea>
    </chartFormat>
    <chartFormat chart="16" format="166">
      <pivotArea type="data" outline="0" fieldPosition="0">
        <references count="2">
          <reference field="4294967294" count="1" selected="0">
            <x v="0"/>
          </reference>
          <reference field="6" count="1" selected="0">
            <x v="0"/>
          </reference>
        </references>
      </pivotArea>
    </chartFormat>
    <chartFormat chart="16" format="167">
      <pivotArea type="data" outline="0" fieldPosition="0">
        <references count="2">
          <reference field="4294967294" count="1" selected="0">
            <x v="0"/>
          </reference>
          <reference field="6" count="1" selected="0">
            <x v="1"/>
          </reference>
        </references>
      </pivotArea>
    </chartFormat>
    <chartFormat chart="16" format="168">
      <pivotArea type="data" outline="0" fieldPosition="0">
        <references count="2">
          <reference field="4294967294" count="1" selected="0">
            <x v="0"/>
          </reference>
          <reference field="6" count="1" selected="0">
            <x v="2"/>
          </reference>
        </references>
      </pivotArea>
    </chartFormat>
    <chartFormat chart="16" format="169">
      <pivotArea type="data" outline="0" fieldPosition="0">
        <references count="2">
          <reference field="4294967294" count="1" selected="0">
            <x v="0"/>
          </reference>
          <reference field="6" count="1" selected="0">
            <x v="3"/>
          </reference>
        </references>
      </pivotArea>
    </chartFormat>
    <chartFormat chart="16" format="170">
      <pivotArea type="data" outline="0" fieldPosition="0">
        <references count="2">
          <reference field="4294967294" count="1" selected="0">
            <x v="0"/>
          </reference>
          <reference field="6" count="1" selected="0">
            <x v="4"/>
          </reference>
        </references>
      </pivotArea>
    </chartFormat>
    <chartFormat chart="16" format="171">
      <pivotArea type="data" outline="0" fieldPosition="0">
        <references count="2">
          <reference field="4294967294" count="1" selected="0">
            <x v="0"/>
          </reference>
          <reference field="6" count="1" selected="0">
            <x v="5"/>
          </reference>
        </references>
      </pivotArea>
    </chartFormat>
    <chartFormat chart="16" format="172">
      <pivotArea type="data" outline="0" fieldPosition="0">
        <references count="2">
          <reference field="4294967294" count="1" selected="0">
            <x v="0"/>
          </reference>
          <reference field="6" count="1" selected="0">
            <x v="6"/>
          </reference>
        </references>
      </pivotArea>
    </chartFormat>
    <chartFormat chart="16" format="173">
      <pivotArea type="data" outline="0" fieldPosition="0">
        <references count="2">
          <reference field="4294967294" count="1" selected="0">
            <x v="0"/>
          </reference>
          <reference field="6" count="1" selected="0">
            <x v="7"/>
          </reference>
        </references>
      </pivotArea>
    </chartFormat>
    <chartFormat chart="16" format="174">
      <pivotArea type="data" outline="0" fieldPosition="0">
        <references count="2">
          <reference field="4294967294" count="1" selected="0">
            <x v="0"/>
          </reference>
          <reference field="6" count="1" selected="0">
            <x v="8"/>
          </reference>
        </references>
      </pivotArea>
    </chartFormat>
    <chartFormat chart="16" format="175">
      <pivotArea type="data" outline="0" fieldPosition="0">
        <references count="2">
          <reference field="4294967294" count="1" selected="0">
            <x v="0"/>
          </reference>
          <reference field="6" count="1" selected="0">
            <x v="9"/>
          </reference>
        </references>
      </pivotArea>
    </chartFormat>
    <chartFormat chart="16" format="176">
      <pivotArea type="data" outline="0" fieldPosition="0">
        <references count="2">
          <reference field="4294967294" count="1" selected="0">
            <x v="0"/>
          </reference>
          <reference field="6" count="1" selected="0">
            <x v="10"/>
          </reference>
        </references>
      </pivotArea>
    </chartFormat>
    <chartFormat chart="16" format="177">
      <pivotArea type="data" outline="0" fieldPosition="0">
        <references count="2">
          <reference field="4294967294" count="1" selected="0">
            <x v="0"/>
          </reference>
          <reference field="6" count="1" selected="0">
            <x v="11"/>
          </reference>
        </references>
      </pivotArea>
    </chartFormat>
    <chartFormat chart="16" format="178">
      <pivotArea type="data" outline="0" fieldPosition="0">
        <references count="2">
          <reference field="4294967294" count="1" selected="0">
            <x v="0"/>
          </reference>
          <reference field="6" count="1" selected="0">
            <x v="12"/>
          </reference>
        </references>
      </pivotArea>
    </chartFormat>
    <chartFormat chart="16" format="179">
      <pivotArea type="data" outline="0" fieldPosition="0">
        <references count="2">
          <reference field="4294967294" count="1" selected="0">
            <x v="0"/>
          </reference>
          <reference field="6" count="1" selected="0">
            <x v="13"/>
          </reference>
        </references>
      </pivotArea>
    </chartFormat>
    <chartFormat chart="16" format="180">
      <pivotArea type="data" outline="0" fieldPosition="0">
        <references count="2">
          <reference field="4294967294" count="1" selected="0">
            <x v="0"/>
          </reference>
          <reference field="6" count="1" selected="0">
            <x v="14"/>
          </reference>
        </references>
      </pivotArea>
    </chartFormat>
    <chartFormat chart="16" format="181">
      <pivotArea type="data" outline="0" fieldPosition="0">
        <references count="2">
          <reference field="4294967294" count="1" selected="0">
            <x v="0"/>
          </reference>
          <reference field="6" count="1" selected="0">
            <x v="15"/>
          </reference>
        </references>
      </pivotArea>
    </chartFormat>
    <chartFormat chart="16" format="182">
      <pivotArea type="data" outline="0" fieldPosition="0">
        <references count="2">
          <reference field="4294967294" count="1" selected="0">
            <x v="0"/>
          </reference>
          <reference field="6" count="1" selected="0">
            <x v="16"/>
          </reference>
        </references>
      </pivotArea>
    </chartFormat>
    <chartFormat chart="16" format="183">
      <pivotArea type="data" outline="0" fieldPosition="0">
        <references count="2">
          <reference field="4294967294" count="1" selected="0">
            <x v="0"/>
          </reference>
          <reference field="6" count="1" selected="0">
            <x v="17"/>
          </reference>
        </references>
      </pivotArea>
    </chartFormat>
    <chartFormat chart="16" format="184">
      <pivotArea type="data" outline="0" fieldPosition="0">
        <references count="2">
          <reference field="4294967294" count="1" selected="0">
            <x v="0"/>
          </reference>
          <reference field="6" count="1" selected="0">
            <x v="18"/>
          </reference>
        </references>
      </pivotArea>
    </chartFormat>
    <chartFormat chart="16" format="185">
      <pivotArea type="data" outline="0" fieldPosition="0">
        <references count="2">
          <reference field="4294967294" count="1" selected="0">
            <x v="0"/>
          </reference>
          <reference field="6" count="1" selected="0">
            <x v="19"/>
          </reference>
        </references>
      </pivotArea>
    </chartFormat>
    <chartFormat chart="16" format="186">
      <pivotArea type="data" outline="0" fieldPosition="0">
        <references count="2">
          <reference field="4294967294" count="1" selected="0">
            <x v="0"/>
          </reference>
          <reference field="6" count="1" selected="0">
            <x v="20"/>
          </reference>
        </references>
      </pivotArea>
    </chartFormat>
    <chartFormat chart="16" format="187">
      <pivotArea type="data" outline="0" fieldPosition="0">
        <references count="2">
          <reference field="4294967294" count="1" selected="0">
            <x v="0"/>
          </reference>
          <reference field="6" count="1" selected="0">
            <x v="21"/>
          </reference>
        </references>
      </pivotArea>
    </chartFormat>
    <chartFormat chart="16" format="188">
      <pivotArea type="data" outline="0" fieldPosition="0">
        <references count="2">
          <reference field="4294967294" count="1" selected="0">
            <x v="0"/>
          </reference>
          <reference field="6" count="1" selected="0">
            <x v="22"/>
          </reference>
        </references>
      </pivotArea>
    </chartFormat>
    <chartFormat chart="16" format="189">
      <pivotArea type="data" outline="0" fieldPosition="0">
        <references count="2">
          <reference field="4294967294" count="1" selected="0">
            <x v="0"/>
          </reference>
          <reference field="6" count="1" selected="0">
            <x v="23"/>
          </reference>
        </references>
      </pivotArea>
    </chartFormat>
    <chartFormat chart="16" format="190">
      <pivotArea type="data" outline="0" fieldPosition="0">
        <references count="2">
          <reference field="4294967294" count="1" selected="0">
            <x v="0"/>
          </reference>
          <reference field="6" count="1" selected="0">
            <x v="24"/>
          </reference>
        </references>
      </pivotArea>
    </chartFormat>
    <chartFormat chart="16" format="191">
      <pivotArea type="data" outline="0" fieldPosition="0">
        <references count="2">
          <reference field="4294967294" count="1" selected="0">
            <x v="0"/>
          </reference>
          <reference field="6" count="1" selected="0">
            <x v="25"/>
          </reference>
        </references>
      </pivotArea>
    </chartFormat>
    <chartFormat chart="16" format="192">
      <pivotArea type="data" outline="0" fieldPosition="0">
        <references count="2">
          <reference field="4294967294" count="1" selected="0">
            <x v="0"/>
          </reference>
          <reference field="6" count="1" selected="0">
            <x v="26"/>
          </reference>
        </references>
      </pivotArea>
    </chartFormat>
    <chartFormat chart="16" format="193">
      <pivotArea type="data" outline="0" fieldPosition="0">
        <references count="2">
          <reference field="4294967294" count="1" selected="0">
            <x v="0"/>
          </reference>
          <reference field="6" count="1" selected="0">
            <x v="27"/>
          </reference>
        </references>
      </pivotArea>
    </chartFormat>
    <chartFormat chart="16" format="194">
      <pivotArea type="data" outline="0" fieldPosition="0">
        <references count="2">
          <reference field="4294967294" count="1" selected="0">
            <x v="0"/>
          </reference>
          <reference field="6" count="1" selected="0">
            <x v="28"/>
          </reference>
        </references>
      </pivotArea>
    </chartFormat>
    <chartFormat chart="16" format="195">
      <pivotArea type="data" outline="0" fieldPosition="0">
        <references count="2">
          <reference field="4294967294" count="1" selected="0">
            <x v="0"/>
          </reference>
          <reference field="6" count="1" selected="0">
            <x v="29"/>
          </reference>
        </references>
      </pivotArea>
    </chartFormat>
    <chartFormat chart="16" format="196">
      <pivotArea type="data" outline="0" fieldPosition="0">
        <references count="2">
          <reference field="4294967294" count="1" selected="0">
            <x v="0"/>
          </reference>
          <reference field="6" count="1" selected="0">
            <x v="30"/>
          </reference>
        </references>
      </pivotArea>
    </chartFormat>
    <chartFormat chart="16" format="197">
      <pivotArea type="data" outline="0" fieldPosition="0">
        <references count="2">
          <reference field="4294967294" count="1" selected="0">
            <x v="0"/>
          </reference>
          <reference field="6" count="1" selected="0">
            <x v="31"/>
          </reference>
        </references>
      </pivotArea>
    </chartFormat>
    <chartFormat chart="16" format="198">
      <pivotArea type="data" outline="0" fieldPosition="0">
        <references count="2">
          <reference field="4294967294" count="1" selected="0">
            <x v="0"/>
          </reference>
          <reference field="6" count="1" selected="0">
            <x v="32"/>
          </reference>
        </references>
      </pivotArea>
    </chartFormat>
    <chartFormat chart="16" format="199">
      <pivotArea type="data" outline="0" fieldPosition="0">
        <references count="2">
          <reference field="4294967294" count="1" selected="0">
            <x v="0"/>
          </reference>
          <reference field="6" count="1" selected="0">
            <x v="33"/>
          </reference>
        </references>
      </pivotArea>
    </chartFormat>
    <chartFormat chart="16" format="200">
      <pivotArea type="data" outline="0" fieldPosition="0">
        <references count="2">
          <reference field="4294967294" count="1" selected="0">
            <x v="0"/>
          </reference>
          <reference field="6" count="1" selected="0">
            <x v="34"/>
          </reference>
        </references>
      </pivotArea>
    </chartFormat>
    <chartFormat chart="16" format="201">
      <pivotArea type="data" outline="0" fieldPosition="0">
        <references count="2">
          <reference field="4294967294" count="1" selected="0">
            <x v="0"/>
          </reference>
          <reference field="6" count="1" selected="0">
            <x v="35"/>
          </reference>
        </references>
      </pivotArea>
    </chartFormat>
    <chartFormat chart="16" format="202">
      <pivotArea type="data" outline="0" fieldPosition="0">
        <references count="2">
          <reference field="4294967294" count="1" selected="0">
            <x v="0"/>
          </reference>
          <reference field="6" count="1" selected="0">
            <x v="36"/>
          </reference>
        </references>
      </pivotArea>
    </chartFormat>
    <chartFormat chart="16" format="203">
      <pivotArea type="data" outline="0" fieldPosition="0">
        <references count="2">
          <reference field="4294967294" count="1" selected="0">
            <x v="0"/>
          </reference>
          <reference field="6" count="1" selected="0">
            <x v="37"/>
          </reference>
        </references>
      </pivotArea>
    </chartFormat>
    <chartFormat chart="16" format="204">
      <pivotArea type="data" outline="0" fieldPosition="0">
        <references count="2">
          <reference field="4294967294" count="1" selected="0">
            <x v="0"/>
          </reference>
          <reference field="6" count="1" selected="0">
            <x v="38"/>
          </reference>
        </references>
      </pivotArea>
    </chartFormat>
    <chartFormat chart="16" format="205">
      <pivotArea type="data" outline="0" fieldPosition="0">
        <references count="2">
          <reference field="4294967294" count="1" selected="0">
            <x v="0"/>
          </reference>
          <reference field="6" count="1" selected="0">
            <x v="39"/>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7184CB-483F-4DDA-B073-D90C5BA8ECDA}"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14:B316"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of Song Name" fld="1" subtotal="count" baseField="0" baseItem="0"/>
  </dataFields>
  <chartFormats count="1">
    <chartFormat chart="9" format="1"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usic-Metadata-THT.xlsx!musicmd">
        <x15:activeTabTopLevelEntity name="[musicm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CC973C-D9F9-4BFB-A695-D3E195AE031C}" name="PivotTable2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09:B311"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ong Name" fld="1" subtotal="count" baseField="0" baseItem="0"/>
  </dataFields>
  <chartFormats count="2">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s>
  <pivotHierarchies count="16">
    <pivotHierarchy dragToData="1"/>
    <pivotHierarchy multipleItemSelectionAllowed="1" dragToData="1">
      <members count="1" level="1">
        <member name="[musicmd].[Song Name].&amp;[Aal Izz Well]"/>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usic-Metadata-THT.xlsx!musicmd">
        <x15:activeTabTopLevelEntity name="[musicm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0B2FB2-D960-4990-9D68-37B08D64AA7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5:B307" firstHeaderRow="1" firstDataRow="1" firstDataCol="1"/>
  <pivotFields count="7">
    <pivotField showAll="0"/>
    <pivotField dataField="1" showAll="0"/>
    <pivotField axis="axisRow" showAll="0">
      <items count="172">
        <item x="100"/>
        <item x="101"/>
        <item x="102"/>
        <item x="127"/>
        <item x="130"/>
        <item x="128"/>
        <item x="137"/>
        <item x="138"/>
        <item x="103"/>
        <item x="99"/>
        <item x="129"/>
        <item x="74"/>
        <item x="4"/>
        <item x="6"/>
        <item x="116"/>
        <item x="104"/>
        <item x="13"/>
        <item x="115"/>
        <item x="8"/>
        <item x="96"/>
        <item x="94"/>
        <item x="32"/>
        <item x="34"/>
        <item x="33"/>
        <item x="66"/>
        <item x="79"/>
        <item x="58"/>
        <item x="71"/>
        <item x="75"/>
        <item x="61"/>
        <item x="62"/>
        <item x="95"/>
        <item x="81"/>
        <item x="22"/>
        <item x="77"/>
        <item x="78"/>
        <item x="166"/>
        <item x="48"/>
        <item x="2"/>
        <item x="141"/>
        <item x="55"/>
        <item x="1"/>
        <item x="84"/>
        <item x="5"/>
        <item x="18"/>
        <item x="132"/>
        <item x="105"/>
        <item x="109"/>
        <item x="134"/>
        <item x="108"/>
        <item x="106"/>
        <item x="131"/>
        <item x="107"/>
        <item x="135"/>
        <item x="133"/>
        <item x="110"/>
        <item x="111"/>
        <item x="136"/>
        <item x="114"/>
        <item x="30"/>
        <item x="113"/>
        <item x="122"/>
        <item x="112"/>
        <item x="24"/>
        <item x="98"/>
        <item x="9"/>
        <item x="23"/>
        <item x="158"/>
        <item x="160"/>
        <item x="159"/>
        <item x="161"/>
        <item x="65"/>
        <item x="60"/>
        <item x="63"/>
        <item x="41"/>
        <item x="3"/>
        <item x="19"/>
        <item x="156"/>
        <item x="45"/>
        <item x="28"/>
        <item x="39"/>
        <item x="31"/>
        <item x="14"/>
        <item x="15"/>
        <item x="38"/>
        <item x="40"/>
        <item x="37"/>
        <item x="42"/>
        <item x="83"/>
        <item x="91"/>
        <item x="57"/>
        <item x="85"/>
        <item x="68"/>
        <item x="44"/>
        <item x="12"/>
        <item x="10"/>
        <item x="82"/>
        <item x="52"/>
        <item x="50"/>
        <item x="20"/>
        <item x="87"/>
        <item x="86"/>
        <item x="35"/>
        <item x="69"/>
        <item x="25"/>
        <item x="43"/>
        <item x="17"/>
        <item x="46"/>
        <item x="16"/>
        <item x="54"/>
        <item x="76"/>
        <item x="72"/>
        <item x="139"/>
        <item x="140"/>
        <item x="90"/>
        <item x="89"/>
        <item x="88"/>
        <item x="56"/>
        <item x="64"/>
        <item x="93"/>
        <item x="80"/>
        <item x="7"/>
        <item x="27"/>
        <item x="29"/>
        <item x="11"/>
        <item x="59"/>
        <item x="0"/>
        <item x="150"/>
        <item x="153"/>
        <item x="151"/>
        <item x="154"/>
        <item x="152"/>
        <item x="67"/>
        <item x="117"/>
        <item x="125"/>
        <item x="26"/>
        <item x="47"/>
        <item x="126"/>
        <item x="155"/>
        <item x="157"/>
        <item x="49"/>
        <item x="119"/>
        <item x="120"/>
        <item x="118"/>
        <item x="36"/>
        <item x="73"/>
        <item x="163"/>
        <item x="164"/>
        <item x="162"/>
        <item x="170"/>
        <item x="169"/>
        <item x="165"/>
        <item x="167"/>
        <item x="149"/>
        <item x="146"/>
        <item x="147"/>
        <item x="148"/>
        <item x="168"/>
        <item x="92"/>
        <item x="53"/>
        <item x="51"/>
        <item x="70"/>
        <item x="97"/>
        <item x="121"/>
        <item x="124"/>
        <item x="144"/>
        <item x="145"/>
        <item x="21"/>
        <item x="143"/>
        <item x="123"/>
        <item x="142"/>
        <item t="default"/>
      </items>
    </pivotField>
    <pivotField showAll="0"/>
    <pivotField showAll="0"/>
    <pivotField showAll="0"/>
    <pivotField showAll="0"/>
  </pivotFields>
  <rowFields count="1">
    <field x="2"/>
  </rowFields>
  <rowItems count="1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t="grand">
      <x/>
    </i>
  </rowItems>
  <colItems count="1">
    <i/>
  </colItems>
  <dataFields count="1">
    <dataField name="Count of Song Name" fld="1"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C893E9-DC60-4322-9778-7F8E2A1E27F0}" name="PivotTable3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33:B34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5"/>
    </i>
    <i>
      <x v="7"/>
    </i>
    <i>
      <x v="1"/>
    </i>
    <i>
      <x v="6"/>
    </i>
    <i>
      <x v="2"/>
    </i>
    <i>
      <x v="8"/>
    </i>
    <i>
      <x v="3"/>
    </i>
    <i>
      <x/>
    </i>
    <i>
      <x v="4"/>
    </i>
    <i t="grand">
      <x/>
    </i>
  </rowItems>
  <colItems count="1">
    <i/>
  </colItems>
  <dataFields count="1">
    <dataField name="Count of Views (YouTube)" fld="1" subtotal="count" baseField="0" baseItem="0"/>
  </dataFields>
  <chartFormats count="3">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musicm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55F1DA-B0A0-4700-B362-2622431FA51E}"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6:C331" firstHeaderRow="0" firstDataRow="1" firstDataCol="1"/>
  <pivotFields count="3">
    <pivotField dataField="1" subtotalTop="0" showAll="0" defaultSubtotal="0"/>
    <pivotField axis="axisRow" allDrilled="1" showAll="0" dataSourceSort="1" defaultAttributeDrillState="1">
      <items count="5">
        <item x="0"/>
        <item x="1"/>
        <item x="2"/>
        <item x="3"/>
        <item t="default"/>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Count of Song Name" fld="0" subtotal="count" baseField="0" baseItem="0"/>
    <dataField name="Count of Views (YouTube)" fld="2" subtotal="count"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9"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usic-Metadata-THT.xlsx!musicmd">
        <x15:activeTabTopLevelEntity name="[musicm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BA25F3-B568-4A40-B920-79F60B88A1E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0:B133" firstHeaderRow="1" firstDataRow="1" firstDataCol="1"/>
  <pivotFields count="7">
    <pivotField showAll="0"/>
    <pivotField dataField="1" showAll="0"/>
    <pivotField showAll="0"/>
    <pivotField axis="axisRow" showAll="0">
      <items count="83">
        <item x="2"/>
        <item x="6"/>
        <item x="0"/>
        <item x="1"/>
        <item x="26"/>
        <item x="53"/>
        <item x="54"/>
        <item x="27"/>
        <item x="5"/>
        <item x="55"/>
        <item x="4"/>
        <item x="7"/>
        <item x="56"/>
        <item x="8"/>
        <item x="9"/>
        <item x="57"/>
        <item x="10"/>
        <item x="76"/>
        <item x="11"/>
        <item x="79"/>
        <item x="12"/>
        <item x="13"/>
        <item x="61"/>
        <item x="14"/>
        <item x="62"/>
        <item x="15"/>
        <item x="50"/>
        <item x="49"/>
        <item x="17"/>
        <item x="19"/>
        <item x="16"/>
        <item x="63"/>
        <item x="58"/>
        <item x="18"/>
        <item x="21"/>
        <item x="64"/>
        <item x="20"/>
        <item x="39"/>
        <item x="22"/>
        <item x="40"/>
        <item x="41"/>
        <item x="23"/>
        <item x="24"/>
        <item x="25"/>
        <item x="42"/>
        <item x="51"/>
        <item x="43"/>
        <item x="52"/>
        <item x="44"/>
        <item x="45"/>
        <item x="46"/>
        <item x="47"/>
        <item x="65"/>
        <item x="66"/>
        <item x="67"/>
        <item x="48"/>
        <item x="68"/>
        <item x="69"/>
        <item x="70"/>
        <item x="71"/>
        <item x="77"/>
        <item x="72"/>
        <item x="78"/>
        <item x="73"/>
        <item x="74"/>
        <item x="80"/>
        <item x="60"/>
        <item x="75"/>
        <item x="59"/>
        <item x="3"/>
        <item x="28"/>
        <item x="30"/>
        <item x="31"/>
        <item x="81"/>
        <item x="32"/>
        <item x="29"/>
        <item x="33"/>
        <item x="34"/>
        <item x="35"/>
        <item x="36"/>
        <item x="37"/>
        <item x="38"/>
        <item t="default"/>
      </items>
    </pivotField>
    <pivotField showAll="0"/>
    <pivotField showAll="0"/>
    <pivotField showAll="0"/>
  </pivotFields>
  <rowFields count="1">
    <field x="3"/>
  </rowFields>
  <rowItems count="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t="grand">
      <x/>
    </i>
  </rowItems>
  <colItems count="1">
    <i/>
  </colItems>
  <dataFields count="1">
    <dataField name="Count of Song Name" fld="1" subtotal="count" baseField="0" baseItem="0"/>
  </dataFields>
  <chartFormats count="1">
    <chartFormat chart="16"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C59500-B93F-4C17-96EE-5DA355ACBE9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8:B323" firstHeaderRow="1" firstDataRow="1" firstDataCol="1"/>
  <pivotFields count="7">
    <pivotField showAll="0"/>
    <pivotField showAll="0"/>
    <pivotField showAll="0"/>
    <pivotField showAll="0"/>
    <pivotField showAll="0"/>
    <pivotField axis="axisRow" showAll="0">
      <items count="5">
        <item x="1"/>
        <item x="3"/>
        <item x="2"/>
        <item x="0"/>
        <item t="default"/>
      </items>
    </pivotField>
    <pivotField dataField="1" showAll="0"/>
  </pivotFields>
  <rowFields count="1">
    <field x="5"/>
  </rowFields>
  <rowItems count="5">
    <i>
      <x/>
    </i>
    <i>
      <x v="1"/>
    </i>
    <i>
      <x v="2"/>
    </i>
    <i>
      <x v="3"/>
    </i>
    <i t="grand">
      <x/>
    </i>
  </rowItems>
  <colItems count="1">
    <i/>
  </colItems>
  <dataFields count="1">
    <dataField name="Count of Genre" fld="6"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00A11DC1-284B-4D73-A61B-C0B96D2797F5}" sourceName="Language">
  <pivotTables>
    <pivotTable tabId="15" name="PivotTable19"/>
  </pivotTables>
  <data>
    <tabular pivotCacheId="929197578">
      <items count="4">
        <i x="3"/>
        <i x="2" s="1"/>
        <i x="0"/>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9984775A-D115-446E-A3CD-80554A8AC859}" sourceName="Genre">
  <pivotTables>
    <pivotTable tabId="15" name="PivotTable19"/>
  </pivotTables>
  <data>
    <tabular pivotCacheId="929197578">
      <items count="40">
        <i x="18"/>
        <i x="29"/>
        <i x="30"/>
        <i x="15"/>
        <i x="27"/>
        <i x="23"/>
        <i x="6"/>
        <i x="8" s="1"/>
        <i x="28"/>
        <i x="33"/>
        <i x="32"/>
        <i x="25"/>
        <i x="26"/>
        <i x="10"/>
        <i x="1"/>
        <i x="14"/>
        <i x="9"/>
        <i x="31"/>
        <i x="5"/>
        <i x="36" nd="1"/>
        <i x="4" nd="1"/>
        <i x="17" nd="1"/>
        <i x="34" nd="1"/>
        <i x="2" nd="1"/>
        <i x="13" nd="1"/>
        <i x="12" nd="1"/>
        <i x="7" nd="1"/>
        <i x="21" nd="1"/>
        <i x="16" nd="1"/>
        <i x="35" nd="1"/>
        <i x="20" nd="1"/>
        <i x="39" nd="1"/>
        <i x="0" nd="1"/>
        <i x="19" nd="1"/>
        <i x="24" nd="1"/>
        <i x="37" nd="1"/>
        <i x="22" nd="1"/>
        <i x="38" nd="1"/>
        <i x="1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C6C26007-675E-4B05-B510-723BB3999A9E}" sourceName="[musicmd].[Performance category]">
  <pivotTables>
    <pivotTable tabId="15" name="PivotTable25"/>
  </pivotTables>
  <data>
    <olap pivotCacheId="503791938">
      <levels count="2">
        <level uniqueName="[musicmd].[Performance category].[(All)]" sourceCaption="(All)" count="0"/>
        <level uniqueName="[musicmd].[Performance category].[Performance category]" sourceCaption="Performance category" count="1">
          <ranges>
            <range startItem="0">
              <i n="[musicmd].[Performance category].&amp;[Hit]" c="Hit"/>
            </range>
          </ranges>
        </level>
      </levels>
      <selections count="1">
        <selection n="[musicmd].[Performance 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ng_Name" xr10:uid="{10836B90-5F0F-4A6A-B2AA-6BB3F4E3C3A9}" sourceName="[musicmd].[Song Name]">
  <pivotTables>
    <pivotTable tabId="15" name="PivotTable25"/>
  </pivotTables>
  <data>
    <olap pivotCacheId="503791938">
      <levels count="2">
        <level uniqueName="[musicmd].[Song Name].[(All)]" sourceCaption="(All)" count="0"/>
        <level uniqueName="[musicmd].[Song Name].[Song Name]" sourceCaption="Song Name" count="174">
          <ranges>
            <range startItem="0">
              <i n="[musicmd].[Song Name].&amp;[Aaina]" c="Aaina"/>
              <i n="[musicmd].[Song Name].&amp;[Aal Izz Well]" c="Aal Izz Well"/>
              <i n="[musicmd].[Song Name].&amp;[Aavan Jaavan]" c="Aavan Jaavan"/>
              <i n="[musicmd].[Song Name].&amp;[Achacho]" c="Achacho"/>
              <i n="[musicmd].[Song Name].&amp;[Adakachakko]" c="Adakachakko"/>
              <i n="[musicmd].[Song Name].&amp;[Adede Tholiprema]" c="Adede Tholiprema"/>
              <i n="[musicmd].[Song Name].&amp;[Adholokam]" c="Adholokam"/>
              <i n="[musicmd].[Song Name].&amp;[Aho Balu]" c="Aho Balu"/>
              <i n="[musicmd].[Song Name].&amp;[Akhiyaan Gulaab]" c="Akhiyaan Gulaab"/>
              <i n="[musicmd].[Song Name].&amp;[Amba Dari]" c="Amba Dari"/>
              <i n="[musicmd].[Song Name].&amp;[Amigo]" c="Amigo"/>
              <i n="[musicmd].[Song Name].&amp;[Amma Amma]" c="Amma Amma"/>
              <i n="[musicmd].[Song Name].&amp;[Ammani Rukkumani]" c="Ammani Rukkumani"/>
              <i n="[musicmd].[Song Name].&amp;[Ammayi (Telugu)]" c="Ammayi (Telugu)"/>
              <i n="[musicmd].[Song Name].&amp;[Arabic Kuthu - Halamithi Habibo]" c="Arabic Kuthu - Halamithi Habibo"/>
              <i n="[musicmd].[Song Name].&amp;[Arima Arima]" c="Arima Arima"/>
              <i n="[musicmd].[Song Name].&amp;[Ariyathariyathe]" c="Ariyathariyathe"/>
              <i n="[musicmd].[Song Name].&amp;[Armadham]" c="Armadham"/>
              <i n="[musicmd].[Song Name].&amp;[Avunu NIzam]" c="Avunu NIzam"/>
              <i n="[musicmd].[Song Name].&amp;[Chakkarachundil]" c="Chakkarachundil"/>
              <i n="[musicmd].[Song Name].&amp;[Chal Maar]" c="Chal Maar"/>
              <i n="[musicmd].[Song Name].&amp;[Chalte Chalte]" c="Chalte Chalte"/>
              <i n="[musicmd].[Song Name].&amp;[Chandamama]" c="Chandamama"/>
              <i n="[musicmd].[Song Name].&amp;[Chanti Pillala]" c="Chanti Pillala"/>
              <i n="[musicmd].[Song Name].&amp;[Chura Liya]" c="Chura Liya"/>
              <i n="[musicmd].[Song Name].&amp;[Control]" c="Control"/>
              <i n="[musicmd].[Song Name].&amp;[Crazy Kiya Re]" c="Crazy Kiya Re"/>
              <i n="[musicmd].[Song Name].&amp;[Current Laga Re]" c="Current Laga Re"/>
              <i n="[musicmd].[Song Name].&amp;[Daakko Daakko Meka]" c="Daakko Daakko Meka"/>
              <i n="[musicmd].[Song Name].&amp;[Damakku Damakku]" c="Damakku Damakku"/>
              <i n="[musicmd].[Song Name].&amp;[Deedar De]" c="Deedar De"/>
              <i n="[musicmd].[Song Name].&amp;[Deva Deva]" c="Deva Deva"/>
              <i n="[musicmd].[Song Name].&amp;[Dheevara]" c="Dheevara"/>
              <i n="[musicmd].[Song Name].&amp;[Dhoom Again]" c="Dhoom Again"/>
              <i n="[musicmd].[Song Name].&amp;[Dhoom Machale]" c="Dhoom Machale"/>
              <i n="[musicmd].[Song Name].&amp;[Dil Galti Kar Baitha Hai]" c="Dil Galti Kar Baitha Hai"/>
              <i n="[musicmd].[Song Name].&amp;[Dil Ke Paas]" c="Dil Ke Paas"/>
              <i n="[musicmd].[Song Name].&amp;[Ek Do Teen]" c="Ek Do Teen"/>
              <i n="[musicmd].[Song Name].&amp;[Empuraane]" c="Empuraane"/>
              <i n="[musicmd].[Song Name].&amp;[Enakke Enakkaa]" c="Enakke Enakkaa"/>
              <i n="[musicmd].[Song Name].&amp;[Endhira Logathu Sundariye]" c="Endhira Logathu Sundariye"/>
              <i n="[musicmd].[Song Name].&amp;[Ennai Vittu]" c="Ennai Vittu"/>
              <i n="[musicmd].[Song Name].&amp;[Evarevaro]" c="Evarevaro"/>
              <i n="[musicmd].[Song Name].&amp;[Eyy Bidda Idhi Naa Adda]" c="Eyy Bidda Idhi Naa Adda"/>
              <i n="[musicmd].[Song Name].&amp;[Galatta]" c="Galatta"/>
              <i n="[musicmd].[Song Name].&amp;[Gallan]" c="Gallan"/>
              <i n="[musicmd].[Song Name].&amp;[Gehra Hua]" c="Gehra Hua"/>
              <i n="[musicmd].[Song Name].&amp;[Ghungroo]" c="Ghungroo"/>
              <i n="[musicmd].[Song Name].&amp;[Halena]" c="Halena"/>
              <i n="[musicmd].[Song Name].&amp;[Har Kisi Ko]" c="Har Kisi Ko"/>
              <i n="[musicmd].[Song Name].&amp;[Hasili Fisiliye]" c="Hasili Fisiliye"/>
              <i n="[musicmd].[Song Name].&amp;[Head Up High]" c="Head Up High"/>
              <i n="[musicmd].[Song Name].&amp;[Hey Akhil]" c="Hey Akhil"/>
              <i n="[musicmd].[Song Name].&amp;[Hoyna]" c="Hoyna"/>
              <i n="[musicmd].[Song Name].&amp;[Idhazhin Oram (The Innocence of Love)]" c="Idhazhin Oram (The Innocence of Love)"/>
              <i n="[musicmd].[Song Name].&amp;[Illuminati]" c="Illuminati"/>
              <i n="[musicmd].[Song Name].&amp;[Infatuation]" c="Infatuation"/>
              <i n="[musicmd].[Song Name].&amp;[Irumbile Oru Idhaiyam]" c="Irumbile Oru Idhaiyam"/>
              <i n="[musicmd].[Song Name].&amp;[Ishq Jalakar - Karvaan]" c="Ishq Jalakar - Karvaan"/>
              <i n="[musicmd].[Song Name].&amp;[Janaab-E-Aali]" c="Janaab-E-Aali"/>
              <i n="[musicmd].[Song Name].&amp;[Jessica]" c="Jessica"/>
              <i n="[musicmd].[Song Name].&amp;[Junction Lo]" c="Junction Lo"/>
              <i n="[musicmd].[Song Name].&amp;[Kaalam Yen Kadhali]" c="Kaalam Yen Kadhali"/>
              <i n="[musicmd].[Song Name].&amp;[Kadavule Pole]" c="Kadavule Pole"/>
              <i n="[musicmd].[Song Name].&amp;[Kadhal Anukkal]" c="Kadhal Anukkal"/>
              <i n="[musicmd].[Song Name].&amp;[Kadhal Valarthen]" c="Kadhal Valarthen"/>
              <i n="[musicmd].[Song Name].&amp;[Kajalu Chellivaa]" c="Kajalu Chellivaa"/>
              <i n="[musicmd].[Song Name].&amp;[Kalakkatha (Title Song)]" c="Kalakkatha (Title Song)"/>
              <i n="[musicmd].[Song Name].&amp;[Kalalu Kane Kaalaalu]" c="Kalalu Kane Kaalaalu"/>
              <i n="[musicmd].[Song Name].&amp;[Kalloorum Poove]" c="Kalloorum Poove"/>
              <i n="[musicmd].[Song Name].&amp;[Kannai Vittu]" c="Kannai Vittu"/>
              <i n="[musicmd].[Song Name].&amp;[Kannil Pettole]" c="Kannil Pettole"/>
              <i n="[musicmd].[Song Name].&amp;[Kannula Baasalu]" c="Kannula Baasalu"/>
              <i n="[musicmd].[Song Name].&amp;[Kannuladha (The Kiss of Love)]" c="Kannuladha (The Kiss of Love)"/>
              <i n="[musicmd].[Song Name].&amp;[Kesariya]" c="Kesariya"/>
              <i n="[musicmd].[Song Name].&amp;[Khairiyat (Happy)]" c="Khairiyat (Happy)"/>
              <i n="[musicmd].[Song Name].&amp;[Khuda Haafiz]" c="Khuda Haafiz"/>
              <i n="[musicmd].[Song Name].&amp;[Kilimanjaro]" c="Kilimanjaro"/>
              <i n="[musicmd].[Song Name].&amp;[Kiliye Kiliye - Afrobeat Mix]" c="Kiliye Kiliye - Afrobeat Mix"/>
              <i n="[musicmd].[Song Name].&amp;[Kondakaki]" c="Kondakaki"/>
              <i n="[musicmd].[Song Name].&amp;[Koyil Silaye]" c="Koyil Silaye"/>
              <i n="[musicmd].[Song Name].&amp;[Kutty Kudiye]" c="Kutty Kudiye"/>
              <i n="[musicmd].[Song Name].&amp;[Lamha Tera Mera]" c="Lamha Tera Mera"/>
              <i n="[musicmd].[Song Name].&amp;[Lungi Dance]" c="Lungi Dance"/>
              <i n="[musicmd].[Song Name].&amp;[Madras To Madurai]" c="Madras To Madurai"/>
              <i n="[musicmd].[Song Name].&amp;[Main Janta Hoon]" c="Main Janta Hoon"/>
              <i n="[musicmd].[Song Name].&amp;[Malli Malli]" c="Malli Malli"/>
              <i n="[musicmd].[Song Name].&amp;[Manasakamil - Manavalan Unleashed]" c="Manasakamil - Manavalan Unleashed"/>
              <i n="[musicmd].[Song Name].&amp;[Manavaalan Thug]" c="Manavaalan Thug"/>
              <i n="[musicmd].[Song Name].&amp;[Manike]" c="Manike"/>
              <i n="[musicmd].[Song Name].&amp;[Manohari]" c="Manohari"/>
              <i n="[musicmd].[Song Name].&amp;[Mast Magan]" c="Mast Magan"/>
              <i n="[musicmd].[Song Name].&amp;[Maya Nadhi]" c="Maya Nadhi"/>
              <i n="[musicmd].[Song Name].&amp;[Mazhai Megam]" c="Mazhai Megam"/>
              <i n="[musicmd].[Song Name].&amp;[Mei Nigara]" c="Mei Nigara"/>
              <i n="[musicmd].[Song Name].&amp;[Mem Vayasuku Vacham]" c="Mem Vayasuku Vacham"/>
              <i n="[musicmd].[Song Name].&amp;[Mini Maharani]" c="Mini Maharani"/>
              <i n="[musicmd].[Song Name].&amp;[Minnalvala]" c="Minnalvala"/>
              <i n="[musicmd].[Song Name].&amp;[Monica]" c="Monica"/>
              <i n="[musicmd].[Song Name].&amp;[Mumbai Ke Hero]" c="Mumbai Ke Hero"/>
              <i n="[musicmd].[Song Name].&amp;[Mun Andhi]" c="Mun Andhi"/>
              <i n="[musicmd].[Song Name].&amp;[Muthyala Dhaarani]" c="Muthyala Dhaarani"/>
              <i n="[musicmd].[Song Name].&amp;[Naaku Neeku Nokia]" c="Naaku Neeku Nokia"/>
              <i n="[musicmd].[Song Name].&amp;[Naan Un]" c="Naan Un"/>
              <i n="[musicmd].[Song Name].&amp;[Naari Naari]" c="Naari Naari"/>
              <i n="[musicmd].[Song Name].&amp;[Nahna Na Nah]" c="Nahna Na Nah"/>
              <i n="[musicmd].[Song Name].&amp;[Nana Buluku]" c="Nana Buluku"/>
              <i n="[musicmd].[Song Name].&amp;[Ndaakkippattu]" c="Ndaakkippattu"/>
              <i n="[musicmd].[Song Name].&amp;[Nee Paata Madhuram (The Touch of Love)]" c="Nee Paata Madhuram (The Touch of Love)"/>
              <i n="[musicmd].[Song Name].&amp;[Nennekkadunte (Energy)]" c="Nennekkadunte (Energy)"/>
              <i n="[musicmd].[Song Name].&amp;[Neruppu Da]" c="Neruppu Da"/>
              <i n="[musicmd].[Song Name].&amp;[Ninu Choosthunte]" c="Ninu Choosthunte"/>
              <i n="[musicmd].[Song Name].&amp;[O Pilla Pilla]" c="O Pilla Pilla"/>
              <i n="[musicmd].[Song Name].&amp;[O Sayonara]" c="O Sayonara"/>
              <i n="[musicmd].[Song Name].&amp;[Odimaga]" c="Odimaga"/>
              <i n="[musicmd].[Song Name].&amp;[Oh Maya]" c="Oh Maya"/>
              <i n="[musicmd].[Song Name].&amp;[Oh Ringa Ringa]" c="Oh Ringa Ringa"/>
              <i n="[musicmd].[Song Name].&amp;[Ole Melody]" c="Ole Melody"/>
              <i n="[musicmd].[Song Name].&amp;[Oo Antava Oo Oo Antava]" c="Oo Antava Oo Oo Antava"/>
              <i n="[musicmd].[Song Name].&amp;[Oo Solriya Oo Oo Solriya]" c="Oo Solriya Oo Oo Solriya"/>
              <i n="[musicmd].[Song Name].&amp;[Oru Kan Jaadai]" c="Oru Kan Jaadai"/>
              <i n="[musicmd].[Song Name].&amp;[Oru Maalai]" c="Oru Maalai"/>
              <i n="[musicmd].[Song Name].&amp;[Pacha Bottesi]" c="Pacha Bottesi"/>
              <i n="[musicmd].[Song Name].&amp;[Padessavae]" c="Padessavae"/>
              <i n="[musicmd].[Song Name].&amp;[Party All Night]" c="Party All Night"/>
              <i n="[musicmd].[Song Name].&amp;[Pathala]" c="Pathala"/>
              <i n="[musicmd].[Song Name].&amp;[Pazhagikalam]" c="Pazhagikalam"/>
              <i n="[musicmd].[Song Name].&amp;[Pilichina Ranantava]" c="Pilichina Ranantava"/>
              <i n="[musicmd].[Song Name].&amp;[Po Ve Po (The Pain of Love)]" c="Po Ve Po (The Pain of Love)"/>
              <i n="[musicmd].[Song Name].&amp;[Poovukkul]" c="Poovukkul"/>
              <i n="[musicmd].[Song Name].&amp;[Punnagaye]" c="Punnagaye"/>
              <i n="[musicmd].[Song Name].&amp;[Qayamat]" c="Qayamat"/>
              <i n="[musicmd].[Song Name].&amp;[Raataan Lambiyan]" c="Raataan Lambiyan"/>
              <i n="[musicmd].[Song Name].&amp;[Rahathulla]" c="Rahathulla"/>
              <i n="[musicmd].[Song Name].&amp;[Rasiya]" c="Rasiya"/>
              <i n="[musicmd].[Song Name].&amp;[Rowdy Baby]" c="Rowdy Baby"/>
              <i n="[musicmd].[Song Name].&amp;[Saachitale]" c="Saachitale"/>
              <i n="[musicmd].[Song Name].&amp;[Saami Saami]" c="Saami Saami"/>
              <i n="[musicmd].[Song Name].&amp;[Sab Tera]" c="Sab Tera"/>
              <i n="[musicmd].[Song Name].&amp;[Sawan Aaya Hai]" c="Sawan Aaya Hai"/>
              <i n="[musicmd].[Song Name].&amp;[Second Hand Jawaani]" c="Second Hand Jawaani"/>
              <i n="[musicmd].[Song Name].&amp;[Shararat]" c="Shararat"/>
              <i n="[musicmd].[Song Name].&amp;[Single Kingulam]" c="Single Kingulam"/>
              <i n="[musicmd].[Song Name].&amp;[Slow Motion]" c="Slow Motion"/>
              <i n="[musicmd].[Song Name].&amp;[Soniye Dil Nayi]" c="Soniye Dil Nayi"/>
              <i n="[musicmd].[Song Name].&amp;[Sun Zara]" c="Sun Zara"/>
              <i n="[musicmd].[Song Name].&amp;[Swathi Reddy]" c="Swathi Reddy"/>
              <i n="[musicmd].[Song Name].&amp;[Telangana Bommalu]" c="Telangana Bommalu"/>
              <i n="[musicmd].[Song Name].&amp;[Tera Baap Aaya]" c="Tera Baap Aaya"/>
              <i n="[musicmd].[Song Name].&amp;[Tera Naam Japdi Phiran]" c="Tera Naam Japdi Phiran"/>
              <i n="[musicmd].[Song Name].&amp;[Tere Pyaar Mein]" c="Tere Pyaar Mein"/>
              <i n="[musicmd].[Song Name].&amp;[Tere Siva Jag Mein]" c="Tere Siva Jag Mein"/>
              <i n="[musicmd].[Song Name].&amp;[Thalachi Thalachi (Male)]" c="Thalachi Thalachi (Male)"/>
              <i n="[musicmd].[Song Name].&amp;[Thallumaala Paattu]" c="Thallumaala Paattu"/>
              <i n="[musicmd].[Song Name].&amp;[Thiru Thiru Gananadha]" c="Thiru Thiru Gananadha"/>
              <i n="[musicmd].[Song Name].&amp;[Thoottikkanoda Patha]" c="Thoottikkanoda Patha"/>
              <i n="[musicmd].[Song Name].&amp;[Tu Mera Hogaya Hai]" c="Tu Mera Hogaya Hai"/>
              <i n="[musicmd].[Song Name].&amp;[Tum Se]" c="Tum Se"/>
              <i n="[musicmd].[Song Name].&amp;[Tum Tum]" c="Tum Tum"/>
              <i n="[musicmd].[Song Name].&amp;[Tumse Bhi Zyada]" c="Tumse Bhi Zyada"/>
              <i n="[musicmd].[Song Name].&amp;[Tupathu]" c="Tupathu"/>
              <i n="[musicmd].[Song Name].&amp;[Vaa Vaa Vaa Vennila]" c="Vaa Vaa Vaa Vennila"/>
              <i n="[musicmd].[Song Name].&amp;[Vaarayo Vaarayo]" c="Vaarayo Vaarayo"/>
              <i n="[musicmd].[Song Name].&amp;[Welcome to Hyderabad]" c="Welcome to Hyderabad"/>
              <i n="[musicmd].[Song Name].&amp;[Who Are You?]" c="Who Are You?"/>
              <i n="[musicmd].[Song Name].&amp;[Why This Kolaveri Di? (The Soup of Love)]" c="Why This Kolaveri Di? (The Soup of Love)"/>
              <i n="[musicmd].[Song Name].&amp;[X-Machi]" c="X-Machi"/>
              <i n="[musicmd].[Song Name].&amp;[Yaevaindho]" c="Yaevaindho"/>
              <i n="[musicmd].[Song Name].&amp;[Yedhalo Oka Mounam (The Innocence of Love)]" c="Yedhalo Oka Mounam (The Innocence of Love)"/>
              <i n="[musicmd].[Song Name].&amp;[Yellae Lama]" c="Yellae Lama"/>
              <i n="[musicmd].[Song Name].&amp;[Yeno Yeno Panithuli]" c="Yeno Yeno Panithuli"/>
              <i n="[musicmd].[Song Name].&amp;[Yolo]" c="Yolo"/>
              <i n="[musicmd].[Song Name].&amp;[You're My Love]" c="You're My Love"/>
              <i n="[musicmd].[Song Name].&amp;[Zara Zaraa Navvaradhe]" c="Zara Zaraa Navvaradhe"/>
            </range>
          </ranges>
        </level>
      </levels>
      <selections count="1">
        <selection n="[musicmd].[Song Name].&amp;[Aal Izz We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880FA579-3115-4229-838B-5A1B2C17DE9F}" cache="Slicer_Language" caption="Language" rowHeight="234950"/>
  <slicer name="Genre" xr10:uid="{A6E96040-C83E-49C8-A61A-97A9CD477443}" cache="Slicer_Genre" caption="Genre" rowHeight="234950"/>
  <slicer name="Performance category 1" xr10:uid="{36A4A3D8-5AE9-4152-92CD-0A93ADB17EE1}" cache="Slicer_Performance_category" caption="Performance category" level="1" rowHeight="234950"/>
  <slicer name="Song Name 1" xr10:uid="{A64C7E37-751D-4F25-8437-0000BF5788EE}" cache="Slicer_Song_Name" caption="Song 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07B8DD-B5C8-44A0-8705-702B0C9CAB0B}" name="musicmd" displayName="musicmd" ref="A2:J177" totalsRowShown="0">
  <tableColumns count="10">
    <tableColumn id="1" xr3:uid="{A1C7B3D7-CF8F-4F1F-92C2-C41300D95E5D}" name="ID"/>
    <tableColumn id="2" xr3:uid="{BF15E6EA-C03D-462E-BE97-19269ABF19A0}" name="Song Name"/>
    <tableColumn id="3" xr3:uid="{4F60D79C-26EA-4BEA-8E57-9089437E04CB}" name="Artist Name"/>
    <tableColumn id="4" xr3:uid="{3B0C4EF5-49DF-4BDB-93FD-8580FCA723E2}" name="Album Name"/>
    <tableColumn id="5" xr3:uid="{486C6F43-EAC7-40A9-A9EC-BEEDD09F7EA1}" name="Release Year"/>
    <tableColumn id="6" xr3:uid="{DBE9BB65-CE4A-42A0-A936-F4143BB433AD}" name="Language"/>
    <tableColumn id="7" xr3:uid="{52BE14AD-2A6A-4135-857F-AD905B959DF1}" name="Genre"/>
    <tableColumn id="8" xr3:uid="{B5821749-0157-4BF1-9D08-F0C129E602E0}" name="Views (YouTube)"/>
    <tableColumn id="9" xr3:uid="{36A38828-CB06-4272-8731-34BD78D57673}" name="Performance category" dataDxfId="0">
      <calculatedColumnFormula>IF(musicmd[[#This Row],[Views (YouTube)]]&gt;50000000,"Hit",IF(musicmd[[#This Row],[Views (YouTube)]]&gt;10000000,"Average","Low"))</calculatedColumnFormula>
    </tableColumn>
    <tableColumn id="10" xr3:uid="{C8985DDE-4A2D-404A-BD2A-BA09BC019E79}" name="Revenue Catego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C056-D5C9-432D-9A8B-B69CDC17349E}">
  <dimension ref="A3:W48"/>
  <sheetViews>
    <sheetView showGridLines="0" topLeftCell="A11" zoomScale="42" zoomScaleNormal="27" workbookViewId="0">
      <selection activeCell="W6" sqref="W6"/>
    </sheetView>
  </sheetViews>
  <sheetFormatPr defaultRowHeight="14.4" x14ac:dyDescent="0.3"/>
  <sheetData>
    <row r="3" spans="1:23" x14ac:dyDescent="0.3">
      <c r="A3" t="str">
        <f>"Total Songs: " &amp; GETPIVOTDATA("Genre",Sheet14!$A$318)</f>
        <v>Total Songs: 175</v>
      </c>
      <c r="E3" t="str">
        <f>"Top Genre: " &amp; GETPIVOTDATA("Song Name",Sheet14!$A$3,"Genre","Romantic (Love)")</f>
        <v>Top Genre: 32</v>
      </c>
      <c r="I3" t="str">
        <f>"Top Language: " &amp; GETPIVOTDATA("[Measures].[Count of Views (YouTube)]",Sheet14!$A$326,"[musicmd].[Language]","[musicmd].[Language].&amp;[Telugu]")</f>
        <v>Top Language: 50</v>
      </c>
    </row>
    <row r="5" spans="1:23" x14ac:dyDescent="0.3">
      <c r="D5" t="s">
        <v>654</v>
      </c>
      <c r="M5" t="s">
        <v>655</v>
      </c>
      <c r="W5" t="s">
        <v>800</v>
      </c>
    </row>
    <row r="25" spans="5:14" x14ac:dyDescent="0.3">
      <c r="E25" t="s">
        <v>656</v>
      </c>
      <c r="N25" t="s">
        <v>657</v>
      </c>
    </row>
    <row r="47" spans="5:14" x14ac:dyDescent="0.3">
      <c r="N47" t="s">
        <v>796</v>
      </c>
    </row>
    <row r="48" spans="5:14" x14ac:dyDescent="0.3">
      <c r="E48" t="s">
        <v>795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7"/>
  <sheetViews>
    <sheetView topLeftCell="A5" zoomScaleNormal="100" workbookViewId="0">
      <selection activeCell="C177" sqref="C177"/>
    </sheetView>
  </sheetViews>
  <sheetFormatPr defaultRowHeight="14.4" x14ac:dyDescent="0.3"/>
  <cols>
    <col min="2" max="3" width="36.5546875" bestFit="1" customWidth="1"/>
    <col min="4" max="4" width="28.5546875" bestFit="1" customWidth="1"/>
    <col min="5" max="5" width="13.33203125" customWidth="1"/>
    <col min="6" max="6" width="11" customWidth="1"/>
    <col min="7" max="7" width="25.33203125" bestFit="1" customWidth="1"/>
    <col min="8" max="8" width="11.33203125" bestFit="1" customWidth="1"/>
    <col min="10" max="10" width="10.33203125" bestFit="1" customWidth="1"/>
  </cols>
  <sheetData>
    <row r="1" spans="1:10" ht="25.8" x14ac:dyDescent="0.5">
      <c r="C1" s="4" t="s">
        <v>653</v>
      </c>
    </row>
    <row r="2" spans="1:10" x14ac:dyDescent="0.3">
      <c r="A2" t="s">
        <v>0</v>
      </c>
      <c r="B2" t="s">
        <v>1</v>
      </c>
      <c r="C2" t="s">
        <v>2</v>
      </c>
      <c r="D2" t="s">
        <v>3</v>
      </c>
      <c r="E2" t="s">
        <v>4</v>
      </c>
      <c r="F2" t="s">
        <v>5</v>
      </c>
      <c r="G2" t="s">
        <v>6</v>
      </c>
      <c r="H2" t="s">
        <v>792</v>
      </c>
      <c r="I2" t="s">
        <v>658</v>
      </c>
      <c r="J2" t="s">
        <v>659</v>
      </c>
    </row>
    <row r="3" spans="1:10" x14ac:dyDescent="0.3">
      <c r="A3" t="s">
        <v>7</v>
      </c>
      <c r="B3" t="s">
        <v>8</v>
      </c>
      <c r="C3" s="1" t="s">
        <v>9</v>
      </c>
      <c r="D3" t="s">
        <v>10</v>
      </c>
      <c r="E3">
        <v>2014</v>
      </c>
      <c r="F3" t="s">
        <v>11</v>
      </c>
      <c r="G3" t="s">
        <v>12</v>
      </c>
      <c r="H3" s="5" t="s">
        <v>754</v>
      </c>
      <c r="I3" s="5" t="str">
        <f>IF(musicmd[[#This Row],[Views (YouTube)]]&gt;50000000,"Hit",IF(musicmd[[#This Row],[Views (YouTube)]]&gt;10000000,"Average","Low"))</f>
        <v>Hit</v>
      </c>
      <c r="J3" s="5" t="str">
        <f>IF(musicmd[[#This Row],[Views (YouTube)]]&gt;50000000,"High",IF(musicmd[[#This Row],[Views (YouTube)]]&gt;10000000,"Medium","Low"))</f>
        <v>High</v>
      </c>
    </row>
    <row r="4" spans="1:10" x14ac:dyDescent="0.3">
      <c r="A4" t="s">
        <v>13</v>
      </c>
      <c r="B4" t="s">
        <v>14</v>
      </c>
      <c r="C4" s="1" t="s">
        <v>15</v>
      </c>
      <c r="D4" t="s">
        <v>10</v>
      </c>
      <c r="E4">
        <v>2014</v>
      </c>
      <c r="F4" t="s">
        <v>11</v>
      </c>
      <c r="G4" t="s">
        <v>16</v>
      </c>
      <c r="H4" s="5" t="s">
        <v>755</v>
      </c>
      <c r="I4" s="5" t="str">
        <f>IF(musicmd[[#This Row],[Views (YouTube)]]&gt;50000000,"Hit",IF(musicmd[[#This Row],[Views (YouTube)]]&gt;10000000,"Average","Low"))</f>
        <v>Hit</v>
      </c>
      <c r="J4" s="5" t="str">
        <f>IF(musicmd[[#This Row],[Views (YouTube)]]&gt;50000000,"High",IF(musicmd[[#This Row],[Views (YouTube)]]&gt;10000000,"Medium","Low"))</f>
        <v>High</v>
      </c>
    </row>
    <row r="5" spans="1:10" x14ac:dyDescent="0.3">
      <c r="A5" t="s">
        <v>17</v>
      </c>
      <c r="B5" t="s">
        <v>18</v>
      </c>
      <c r="C5" t="s">
        <v>19</v>
      </c>
      <c r="D5" t="s">
        <v>10</v>
      </c>
      <c r="E5">
        <v>2014</v>
      </c>
      <c r="F5" t="s">
        <v>11</v>
      </c>
      <c r="G5" t="s">
        <v>20</v>
      </c>
      <c r="H5" s="5" t="s">
        <v>756</v>
      </c>
      <c r="I5" s="5" t="str">
        <f>IF(musicmd[[#This Row],[Views (YouTube)]]&gt;50000000,"Hit",IF(musicmd[[#This Row],[Views (YouTube)]]&gt;10000000,"Average","Low"))</f>
        <v>Hit</v>
      </c>
      <c r="J5" s="5" t="str">
        <f>IF(musicmd[[#This Row],[Views (YouTube)]]&gt;50000000,"High",IF(musicmd[[#This Row],[Views (YouTube)]]&gt;10000000,"Medium","Low"))</f>
        <v>High</v>
      </c>
    </row>
    <row r="6" spans="1:10" x14ac:dyDescent="0.3">
      <c r="A6" t="s">
        <v>21</v>
      </c>
      <c r="B6" t="s">
        <v>22</v>
      </c>
      <c r="C6" t="s">
        <v>23</v>
      </c>
      <c r="D6" t="s">
        <v>24</v>
      </c>
      <c r="E6">
        <v>2011</v>
      </c>
      <c r="F6" t="s">
        <v>11</v>
      </c>
      <c r="G6" t="s">
        <v>25</v>
      </c>
      <c r="H6" s="5" t="s">
        <v>757</v>
      </c>
      <c r="I6" s="5" t="str">
        <f>IF(musicmd[[#This Row],[Views (YouTube)]]&gt;50000000,"Hit",IF(musicmd[[#This Row],[Views (YouTube)]]&gt;10000000,"Average","Low"))</f>
        <v>Hit</v>
      </c>
      <c r="J6" s="5" t="str">
        <f>IF(musicmd[[#This Row],[Views (YouTube)]]&gt;50000000,"High",IF(musicmd[[#This Row],[Views (YouTube)]]&gt;10000000,"Medium","Low"))</f>
        <v>High</v>
      </c>
    </row>
    <row r="7" spans="1:10" x14ac:dyDescent="0.3">
      <c r="A7" t="s">
        <v>26</v>
      </c>
      <c r="B7" t="s">
        <v>27</v>
      </c>
      <c r="C7" t="s">
        <v>28</v>
      </c>
      <c r="D7" t="s">
        <v>24</v>
      </c>
      <c r="E7">
        <v>2011</v>
      </c>
      <c r="F7" t="s">
        <v>11</v>
      </c>
      <c r="G7" t="s">
        <v>16</v>
      </c>
      <c r="H7" s="5" t="s">
        <v>709</v>
      </c>
      <c r="I7" s="5" t="str">
        <f>IF(musicmd[[#This Row],[Views (YouTube)]]&gt;50000000,"Hit",IF(musicmd[[#This Row],[Views (YouTube)]]&gt;10000000,"Average","Low"))</f>
        <v>Hit</v>
      </c>
      <c r="J7" s="5" t="str">
        <f>IF(musicmd[[#This Row],[Views (YouTube)]]&gt;50000000,"High",IF(musicmd[[#This Row],[Views (YouTube)]]&gt;10000000,"Medium","Low"))</f>
        <v>High</v>
      </c>
    </row>
    <row r="8" spans="1:10" x14ac:dyDescent="0.3">
      <c r="A8" t="s">
        <v>29</v>
      </c>
      <c r="B8" t="s">
        <v>30</v>
      </c>
      <c r="C8" t="s">
        <v>31</v>
      </c>
      <c r="D8" t="s">
        <v>24</v>
      </c>
      <c r="E8">
        <v>2011</v>
      </c>
      <c r="F8" t="s">
        <v>11</v>
      </c>
      <c r="G8" t="s">
        <v>32</v>
      </c>
      <c r="H8" s="5" t="s">
        <v>758</v>
      </c>
      <c r="I8" s="5" t="str">
        <f>IF(musicmd[[#This Row],[Views (YouTube)]]&gt;50000000,"Hit",IF(musicmd[[#This Row],[Views (YouTube)]]&gt;10000000,"Average","Low"))</f>
        <v>Hit</v>
      </c>
      <c r="J8" s="5" t="str">
        <f>IF(musicmd[[#This Row],[Views (YouTube)]]&gt;50000000,"High",IF(musicmd[[#This Row],[Views (YouTube)]]&gt;10000000,"Medium","Low"))</f>
        <v>High</v>
      </c>
    </row>
    <row r="9" spans="1:10" ht="28.8" x14ac:dyDescent="0.3">
      <c r="A9" t="s">
        <v>33</v>
      </c>
      <c r="B9" s="1" t="s">
        <v>34</v>
      </c>
      <c r="C9" t="s">
        <v>35</v>
      </c>
      <c r="D9">
        <v>3</v>
      </c>
      <c r="E9">
        <v>2012</v>
      </c>
      <c r="F9" t="s">
        <v>11</v>
      </c>
      <c r="G9" t="s">
        <v>16</v>
      </c>
      <c r="H9" s="5" t="s">
        <v>730</v>
      </c>
      <c r="I9" s="5" t="str">
        <f>IF(musicmd[[#This Row],[Views (YouTube)]]&gt;50000000,"Hit",IF(musicmd[[#This Row],[Views (YouTube)]]&gt;10000000,"Average","Low"))</f>
        <v>Hit</v>
      </c>
      <c r="J9" s="5" t="str">
        <f>IF(musicmd[[#This Row],[Views (YouTube)]]&gt;50000000,"High",IF(musicmd[[#This Row],[Views (YouTube)]]&gt;10000000,"Medium","Low"))</f>
        <v>High</v>
      </c>
    </row>
    <row r="10" spans="1:10" x14ac:dyDescent="0.3">
      <c r="A10" t="s">
        <v>36</v>
      </c>
      <c r="B10" t="s">
        <v>37</v>
      </c>
      <c r="C10" s="1" t="s">
        <v>38</v>
      </c>
      <c r="D10">
        <v>3</v>
      </c>
      <c r="E10">
        <v>2012</v>
      </c>
      <c r="F10" t="s">
        <v>11</v>
      </c>
      <c r="G10" t="s">
        <v>12</v>
      </c>
      <c r="H10" s="5" t="s">
        <v>759</v>
      </c>
      <c r="I10" s="5" t="str">
        <f>IF(musicmd[[#This Row],[Views (YouTube)]]&gt;50000000,"Hit",IF(musicmd[[#This Row],[Views (YouTube)]]&gt;10000000,"Average","Low"))</f>
        <v>Hit</v>
      </c>
      <c r="J10" s="5" t="str">
        <f>IF(musicmd[[#This Row],[Views (YouTube)]]&gt;50000000,"High",IF(musicmd[[#This Row],[Views (YouTube)]]&gt;10000000,"Medium","Low"))</f>
        <v>High</v>
      </c>
    </row>
    <row r="11" spans="1:10" x14ac:dyDescent="0.3">
      <c r="A11" t="s">
        <v>39</v>
      </c>
      <c r="B11" t="s">
        <v>40</v>
      </c>
      <c r="C11" t="s">
        <v>41</v>
      </c>
      <c r="D11">
        <v>3</v>
      </c>
      <c r="E11">
        <v>2012</v>
      </c>
      <c r="F11" t="s">
        <v>11</v>
      </c>
      <c r="G11" t="s">
        <v>42</v>
      </c>
      <c r="H11" s="5" t="s">
        <v>759</v>
      </c>
      <c r="I11" s="5" t="str">
        <f>IF(musicmd[[#This Row],[Views (YouTube)]]&gt;50000000,"Hit",IF(musicmd[[#This Row],[Views (YouTube)]]&gt;10000000,"Average","Low"))</f>
        <v>Hit</v>
      </c>
      <c r="J11" s="5" t="str">
        <f>IF(musicmd[[#This Row],[Views (YouTube)]]&gt;50000000,"High",IF(musicmd[[#This Row],[Views (YouTube)]]&gt;10000000,"Medium","Low"))</f>
        <v>High</v>
      </c>
    </row>
    <row r="12" spans="1:10" x14ac:dyDescent="0.3">
      <c r="A12" t="s">
        <v>43</v>
      </c>
      <c r="B12" t="s">
        <v>44</v>
      </c>
      <c r="C12" s="1" t="s">
        <v>45</v>
      </c>
      <c r="D12" t="s">
        <v>46</v>
      </c>
      <c r="E12">
        <v>2021</v>
      </c>
      <c r="F12" t="s">
        <v>11</v>
      </c>
      <c r="G12" t="s">
        <v>47</v>
      </c>
      <c r="H12" s="5" t="s">
        <v>760</v>
      </c>
      <c r="I12" s="5" t="str">
        <f>IF(musicmd[[#This Row],[Views (YouTube)]]&gt;50000000,"Hit",IF(musicmd[[#This Row],[Views (YouTube)]]&gt;10000000,"Average","Low"))</f>
        <v>Hit</v>
      </c>
      <c r="J12" s="5" t="str">
        <f>IF(musicmd[[#This Row],[Views (YouTube)]]&gt;50000000,"High",IF(musicmd[[#This Row],[Views (YouTube)]]&gt;10000000,"Medium","Low"))</f>
        <v>High</v>
      </c>
    </row>
    <row r="13" spans="1:10" x14ac:dyDescent="0.3">
      <c r="A13" t="s">
        <v>48</v>
      </c>
      <c r="B13" t="s">
        <v>49</v>
      </c>
      <c r="C13" s="1" t="s">
        <v>50</v>
      </c>
      <c r="D13" t="s">
        <v>46</v>
      </c>
      <c r="E13">
        <v>2021</v>
      </c>
      <c r="F13" t="s">
        <v>11</v>
      </c>
      <c r="G13" t="s">
        <v>51</v>
      </c>
      <c r="H13" s="5" t="s">
        <v>761</v>
      </c>
      <c r="I13" s="5" t="str">
        <f>IF(musicmd[[#This Row],[Views (YouTube)]]&gt;50000000,"Hit",IF(musicmd[[#This Row],[Views (YouTube)]]&gt;10000000,"Average","Low"))</f>
        <v>Hit</v>
      </c>
      <c r="J13" s="5" t="str">
        <f>IF(musicmd[[#This Row],[Views (YouTube)]]&gt;50000000,"High",IF(musicmd[[#This Row],[Views (YouTube)]]&gt;10000000,"Medium","Low"))</f>
        <v>High</v>
      </c>
    </row>
    <row r="14" spans="1:10" x14ac:dyDescent="0.3">
      <c r="A14" t="s">
        <v>52</v>
      </c>
      <c r="B14" t="s">
        <v>53</v>
      </c>
      <c r="C14" t="s">
        <v>54</v>
      </c>
      <c r="D14" t="s">
        <v>46</v>
      </c>
      <c r="E14">
        <v>2021</v>
      </c>
      <c r="F14" t="s">
        <v>11</v>
      </c>
      <c r="G14" t="s">
        <v>55</v>
      </c>
      <c r="H14" t="s">
        <v>747</v>
      </c>
      <c r="I14" s="5" t="str">
        <f>IF(musicmd[[#This Row],[Views (YouTube)]]&gt;50000000,"Hit",IF(musicmd[[#This Row],[Views (YouTube)]]&gt;10000000,"Average","Low"))</f>
        <v>Hit</v>
      </c>
      <c r="J14" s="5" t="str">
        <f>IF(musicmd[[#This Row],[Views (YouTube)]]&gt;50000000,"High",IF(musicmd[[#This Row],[Views (YouTube)]]&gt;10000000,"Medium","Low"))</f>
        <v>High</v>
      </c>
    </row>
    <row r="15" spans="1:10" x14ac:dyDescent="0.3">
      <c r="A15" t="s">
        <v>56</v>
      </c>
      <c r="B15" t="s">
        <v>57</v>
      </c>
      <c r="C15" t="s">
        <v>58</v>
      </c>
      <c r="D15" t="s">
        <v>46</v>
      </c>
      <c r="E15">
        <v>2021</v>
      </c>
      <c r="F15" t="s">
        <v>11</v>
      </c>
      <c r="G15" t="s">
        <v>16</v>
      </c>
      <c r="H15" t="s">
        <v>762</v>
      </c>
      <c r="I15" s="5" t="str">
        <f>IF(musicmd[[#This Row],[Views (YouTube)]]&gt;50000000,"Hit",IF(musicmd[[#This Row],[Views (YouTube)]]&gt;10000000,"Average","Low"))</f>
        <v>Hit</v>
      </c>
      <c r="J15" s="5" t="str">
        <f>IF(musicmd[[#This Row],[Views (YouTube)]]&gt;50000000,"High",IF(musicmd[[#This Row],[Views (YouTube)]]&gt;10000000,"Medium","Low"))</f>
        <v>High</v>
      </c>
    </row>
    <row r="16" spans="1:10" x14ac:dyDescent="0.3">
      <c r="A16" t="s">
        <v>59</v>
      </c>
      <c r="B16" t="s">
        <v>60</v>
      </c>
      <c r="C16" t="s">
        <v>801</v>
      </c>
      <c r="D16">
        <v>3</v>
      </c>
      <c r="E16">
        <v>2012</v>
      </c>
      <c r="F16" t="s">
        <v>11</v>
      </c>
      <c r="G16" t="s">
        <v>55</v>
      </c>
      <c r="H16" t="s">
        <v>763</v>
      </c>
      <c r="I16" s="5" t="str">
        <f>IF(musicmd[[#This Row],[Views (YouTube)]]&gt;50000000,"Hit",IF(musicmd[[#This Row],[Views (YouTube)]]&gt;10000000,"Average","Low"))</f>
        <v>Hit</v>
      </c>
      <c r="J16" s="5" t="str">
        <f>IF(musicmd[[#This Row],[Views (YouTube)]]&gt;50000000,"High",IF(musicmd[[#This Row],[Views (YouTube)]]&gt;10000000,"Medium","Low"))</f>
        <v>High</v>
      </c>
    </row>
    <row r="17" spans="1:10" x14ac:dyDescent="0.3">
      <c r="A17" t="s">
        <v>62</v>
      </c>
      <c r="B17" t="s">
        <v>63</v>
      </c>
      <c r="C17" t="s">
        <v>64</v>
      </c>
      <c r="D17" t="s">
        <v>65</v>
      </c>
      <c r="E17">
        <v>2011</v>
      </c>
      <c r="F17" t="s">
        <v>11</v>
      </c>
      <c r="G17" t="s">
        <v>66</v>
      </c>
      <c r="H17" t="s">
        <v>764</v>
      </c>
      <c r="I17" s="5" t="str">
        <f>IF(musicmd[[#This Row],[Views (YouTube)]]&gt;50000000,"Hit",IF(musicmd[[#This Row],[Views (YouTube)]]&gt;10000000,"Average","Low"))</f>
        <v>Hit</v>
      </c>
      <c r="J17" s="5" t="str">
        <f>IF(musicmd[[#This Row],[Views (YouTube)]]&gt;50000000,"High",IF(musicmd[[#This Row],[Views (YouTube)]]&gt;10000000,"Medium","Low"))</f>
        <v>High</v>
      </c>
    </row>
    <row r="18" spans="1:10" ht="28.8" x14ac:dyDescent="0.3">
      <c r="A18" t="s">
        <v>67</v>
      </c>
      <c r="B18" t="s">
        <v>68</v>
      </c>
      <c r="C18" s="1" t="s">
        <v>69</v>
      </c>
      <c r="D18" t="s">
        <v>65</v>
      </c>
      <c r="E18">
        <v>2011</v>
      </c>
      <c r="F18" t="s">
        <v>11</v>
      </c>
      <c r="G18" t="s">
        <v>70</v>
      </c>
      <c r="H18" t="s">
        <v>765</v>
      </c>
      <c r="I18" s="5" t="str">
        <f>IF(musicmd[[#This Row],[Views (YouTube)]]&gt;50000000,"Hit",IF(musicmd[[#This Row],[Views (YouTube)]]&gt;10000000,"Average","Low"))</f>
        <v>Hit</v>
      </c>
      <c r="J18" s="5" t="str">
        <f>IF(musicmd[[#This Row],[Views (YouTube)]]&gt;50000000,"High",IF(musicmd[[#This Row],[Views (YouTube)]]&gt;10000000,"Medium","Low"))</f>
        <v>High</v>
      </c>
    </row>
    <row r="19" spans="1:10" x14ac:dyDescent="0.3">
      <c r="A19" t="s">
        <v>71</v>
      </c>
      <c r="B19" t="s">
        <v>72</v>
      </c>
      <c r="C19" t="s">
        <v>73</v>
      </c>
      <c r="D19" t="s">
        <v>65</v>
      </c>
      <c r="E19">
        <v>2011</v>
      </c>
      <c r="F19" t="s">
        <v>11</v>
      </c>
      <c r="G19" t="s">
        <v>42</v>
      </c>
      <c r="H19" t="s">
        <v>661</v>
      </c>
      <c r="I19" s="5" t="str">
        <f>IF(musicmd[[#This Row],[Views (YouTube)]]&gt;50000000,"Hit",IF(musicmd[[#This Row],[Views (YouTube)]]&gt;10000000,"Average","Low"))</f>
        <v>Hit</v>
      </c>
      <c r="J19" s="5" t="str">
        <f>IF(musicmd[[#This Row],[Views (YouTube)]]&gt;50000000,"High",IF(musicmd[[#This Row],[Views (YouTube)]]&gt;10000000,"Medium","Low"))</f>
        <v>High</v>
      </c>
    </row>
    <row r="20" spans="1:10" x14ac:dyDescent="0.3">
      <c r="A20" t="s">
        <v>74</v>
      </c>
      <c r="B20" s="1" t="s">
        <v>75</v>
      </c>
      <c r="C20" s="1" t="s">
        <v>76</v>
      </c>
      <c r="D20">
        <v>3</v>
      </c>
      <c r="E20">
        <v>2012</v>
      </c>
      <c r="F20" t="s">
        <v>11</v>
      </c>
      <c r="G20" t="s">
        <v>42</v>
      </c>
      <c r="H20" t="s">
        <v>766</v>
      </c>
      <c r="I20" s="5" t="str">
        <f>IF(musicmd[[#This Row],[Views (YouTube)]]&gt;50000000,"Hit",IF(musicmd[[#This Row],[Views (YouTube)]]&gt;10000000,"Average","Low"))</f>
        <v>Hit</v>
      </c>
      <c r="J20" s="5" t="str">
        <f>IF(musicmd[[#This Row],[Views (YouTube)]]&gt;50000000,"High",IF(musicmd[[#This Row],[Views (YouTube)]]&gt;10000000,"Medium","Low"))</f>
        <v>High</v>
      </c>
    </row>
    <row r="21" spans="1:10" ht="28.8" x14ac:dyDescent="0.3">
      <c r="A21" t="s">
        <v>77</v>
      </c>
      <c r="B21" t="s">
        <v>78</v>
      </c>
      <c r="C21" s="1" t="s">
        <v>79</v>
      </c>
      <c r="D21" t="s">
        <v>80</v>
      </c>
      <c r="E21">
        <v>2004</v>
      </c>
      <c r="F21" t="s">
        <v>11</v>
      </c>
      <c r="G21" t="s">
        <v>42</v>
      </c>
      <c r="H21" t="s">
        <v>767</v>
      </c>
      <c r="I21" s="5" t="str">
        <f>IF(musicmd[[#This Row],[Views (YouTube)]]&gt;50000000,"Hit",IF(musicmd[[#This Row],[Views (YouTube)]]&gt;10000000,"Average","Low"))</f>
        <v>Hit</v>
      </c>
      <c r="J21" s="5" t="str">
        <f>IF(musicmd[[#This Row],[Views (YouTube)]]&gt;50000000,"High",IF(musicmd[[#This Row],[Views (YouTube)]]&gt;10000000,"Medium","Low"))</f>
        <v>High</v>
      </c>
    </row>
    <row r="22" spans="1:10" x14ac:dyDescent="0.3">
      <c r="A22" t="s">
        <v>81</v>
      </c>
      <c r="B22" t="s">
        <v>82</v>
      </c>
      <c r="C22" s="1" t="s">
        <v>83</v>
      </c>
      <c r="D22" t="s">
        <v>80</v>
      </c>
      <c r="E22">
        <v>2004</v>
      </c>
      <c r="F22" t="s">
        <v>11</v>
      </c>
      <c r="G22" t="s">
        <v>42</v>
      </c>
      <c r="H22" t="s">
        <v>768</v>
      </c>
      <c r="I22" s="5" t="str">
        <f>IF(musicmd[[#This Row],[Views (YouTube)]]&gt;50000000,"Hit",IF(musicmd[[#This Row],[Views (YouTube)]]&gt;10000000,"Average","Low"))</f>
        <v>Hit</v>
      </c>
      <c r="J22" s="5" t="str">
        <f>IF(musicmd[[#This Row],[Views (YouTube)]]&gt;50000000,"High",IF(musicmd[[#This Row],[Views (YouTube)]]&gt;10000000,"Medium","Low"))</f>
        <v>High</v>
      </c>
    </row>
    <row r="23" spans="1:10" x14ac:dyDescent="0.3">
      <c r="A23" t="s">
        <v>84</v>
      </c>
      <c r="B23" t="s">
        <v>85</v>
      </c>
      <c r="C23" s="1" t="s">
        <v>86</v>
      </c>
      <c r="D23" t="s">
        <v>80</v>
      </c>
      <c r="E23">
        <v>2004</v>
      </c>
      <c r="F23" t="s">
        <v>11</v>
      </c>
      <c r="G23" t="s">
        <v>87</v>
      </c>
      <c r="H23" t="s">
        <v>769</v>
      </c>
      <c r="I23" s="5" t="str">
        <f>IF(musicmd[[#This Row],[Views (YouTube)]]&gt;50000000,"Hit",IF(musicmd[[#This Row],[Views (YouTube)]]&gt;10000000,"Average","Low"))</f>
        <v>Hit</v>
      </c>
      <c r="J23" s="5" t="str">
        <f>IF(musicmd[[#This Row],[Views (YouTube)]]&gt;50000000,"High",IF(musicmd[[#This Row],[Views (YouTube)]]&gt;10000000,"Medium","Low"))</f>
        <v>High</v>
      </c>
    </row>
    <row r="24" spans="1:10" x14ac:dyDescent="0.3">
      <c r="A24" t="s">
        <v>88</v>
      </c>
      <c r="B24" t="s">
        <v>89</v>
      </c>
      <c r="C24" t="s">
        <v>90</v>
      </c>
      <c r="D24" t="s">
        <v>80</v>
      </c>
      <c r="E24">
        <v>2004</v>
      </c>
      <c r="F24" t="s">
        <v>11</v>
      </c>
      <c r="G24" t="s">
        <v>42</v>
      </c>
      <c r="H24" t="s">
        <v>682</v>
      </c>
      <c r="I24" s="5" t="str">
        <f>IF(musicmd[[#This Row],[Views (YouTube)]]&gt;50000000,"Hit",IF(musicmd[[#This Row],[Views (YouTube)]]&gt;10000000,"Average","Low"))</f>
        <v>Hit</v>
      </c>
      <c r="J24" s="5" t="str">
        <f>IF(musicmd[[#This Row],[Views (YouTube)]]&gt;50000000,"High",IF(musicmd[[#This Row],[Views (YouTube)]]&gt;10000000,"Medium","Low"))</f>
        <v>High</v>
      </c>
    </row>
    <row r="25" spans="1:10" x14ac:dyDescent="0.3">
      <c r="A25" t="s">
        <v>91</v>
      </c>
      <c r="B25" t="s">
        <v>92</v>
      </c>
      <c r="C25" s="1" t="s">
        <v>93</v>
      </c>
      <c r="D25" t="s">
        <v>94</v>
      </c>
      <c r="E25">
        <v>2025</v>
      </c>
      <c r="F25" t="s">
        <v>11</v>
      </c>
      <c r="G25" t="s">
        <v>95</v>
      </c>
      <c r="H25" t="s">
        <v>678</v>
      </c>
      <c r="I25" s="5" t="str">
        <f>IF(musicmd[[#This Row],[Views (YouTube)]]&gt;50000000,"Hit",IF(musicmd[[#This Row],[Views (YouTube)]]&gt;10000000,"Average","Low"))</f>
        <v>Hit</v>
      </c>
      <c r="J25" s="5" t="str">
        <f>IF(musicmd[[#This Row],[Views (YouTube)]]&gt;50000000,"High",IF(musicmd[[#This Row],[Views (YouTube)]]&gt;10000000,"Medium","Low"))</f>
        <v>High</v>
      </c>
    </row>
    <row r="26" spans="1:10" x14ac:dyDescent="0.3">
      <c r="A26" t="s">
        <v>96</v>
      </c>
      <c r="B26" t="s">
        <v>97</v>
      </c>
      <c r="C26" s="1" t="s">
        <v>98</v>
      </c>
      <c r="D26" t="s">
        <v>99</v>
      </c>
      <c r="E26">
        <v>2021</v>
      </c>
      <c r="F26" t="s">
        <v>11</v>
      </c>
      <c r="G26" t="s">
        <v>100</v>
      </c>
      <c r="H26" t="s">
        <v>683</v>
      </c>
      <c r="I26" s="5" t="str">
        <f>IF(musicmd[[#This Row],[Views (YouTube)]]&gt;50000000,"Hit",IF(musicmd[[#This Row],[Views (YouTube)]]&gt;10000000,"Average","Low"))</f>
        <v>Hit</v>
      </c>
      <c r="J26" s="5" t="str">
        <f>IF(musicmd[[#This Row],[Views (YouTube)]]&gt;50000000,"High",IF(musicmd[[#This Row],[Views (YouTube)]]&gt;10000000,"Medium","Low"))</f>
        <v>High</v>
      </c>
    </row>
    <row r="27" spans="1:10" x14ac:dyDescent="0.3">
      <c r="A27" t="s">
        <v>101</v>
      </c>
      <c r="B27" t="s">
        <v>102</v>
      </c>
      <c r="C27" s="1" t="s">
        <v>103</v>
      </c>
      <c r="D27" t="s">
        <v>99</v>
      </c>
      <c r="E27">
        <v>2021</v>
      </c>
      <c r="F27" t="s">
        <v>11</v>
      </c>
      <c r="G27" t="s">
        <v>55</v>
      </c>
      <c r="H27" t="s">
        <v>770</v>
      </c>
      <c r="I27" s="5" t="str">
        <f>IF(musicmd[[#This Row],[Views (YouTube)]]&gt;50000000,"Hit",IF(musicmd[[#This Row],[Views (YouTube)]]&gt;10000000,"Average","Low"))</f>
        <v>Hit</v>
      </c>
      <c r="J27" s="5" t="str">
        <f>IF(musicmd[[#This Row],[Views (YouTube)]]&gt;50000000,"High",IF(musicmd[[#This Row],[Views (YouTube)]]&gt;10000000,"Medium","Low"))</f>
        <v>High</v>
      </c>
    </row>
    <row r="28" spans="1:10" x14ac:dyDescent="0.3">
      <c r="A28" t="s">
        <v>104</v>
      </c>
      <c r="B28" t="s">
        <v>105</v>
      </c>
      <c r="C28" s="1" t="s">
        <v>106</v>
      </c>
      <c r="D28" t="s">
        <v>107</v>
      </c>
      <c r="E28">
        <v>2013</v>
      </c>
      <c r="F28" t="s">
        <v>11</v>
      </c>
      <c r="G28" t="s">
        <v>16</v>
      </c>
      <c r="H28" t="s">
        <v>771</v>
      </c>
      <c r="I28" s="5" t="str">
        <f>IF(musicmd[[#This Row],[Views (YouTube)]]&gt;50000000,"Hit",IF(musicmd[[#This Row],[Views (YouTube)]]&gt;10000000,"Average","Low"))</f>
        <v>Hit</v>
      </c>
      <c r="J28" s="5" t="str">
        <f>IF(musicmd[[#This Row],[Views (YouTube)]]&gt;50000000,"High",IF(musicmd[[#This Row],[Views (YouTube)]]&gt;10000000,"Medium","Low"))</f>
        <v>High</v>
      </c>
    </row>
    <row r="29" spans="1:10" x14ac:dyDescent="0.3">
      <c r="A29" t="s">
        <v>108</v>
      </c>
      <c r="B29" t="s">
        <v>109</v>
      </c>
      <c r="C29" s="1" t="s">
        <v>110</v>
      </c>
      <c r="D29" t="s">
        <v>111</v>
      </c>
      <c r="E29">
        <v>2014</v>
      </c>
      <c r="F29" t="s">
        <v>11</v>
      </c>
      <c r="G29" t="s">
        <v>55</v>
      </c>
      <c r="H29" t="s">
        <v>772</v>
      </c>
      <c r="I29" s="5" t="str">
        <f>IF(musicmd[[#This Row],[Views (YouTube)]]&gt;50000000,"Hit",IF(musicmd[[#This Row],[Views (YouTube)]]&gt;10000000,"Average","Low"))</f>
        <v>Hit</v>
      </c>
      <c r="J29" s="5" t="str">
        <f>IF(musicmd[[#This Row],[Views (YouTube)]]&gt;50000000,"High",IF(musicmd[[#This Row],[Views (YouTube)]]&gt;10000000,"Medium","Low"))</f>
        <v>High</v>
      </c>
    </row>
    <row r="30" spans="1:10" x14ac:dyDescent="0.3">
      <c r="A30" t="s">
        <v>112</v>
      </c>
      <c r="B30" t="s">
        <v>113</v>
      </c>
      <c r="C30" s="1" t="s">
        <v>114</v>
      </c>
      <c r="D30" t="s">
        <v>111</v>
      </c>
      <c r="E30">
        <v>2014</v>
      </c>
      <c r="F30" t="s">
        <v>11</v>
      </c>
      <c r="G30" t="s">
        <v>47</v>
      </c>
      <c r="H30" t="s">
        <v>773</v>
      </c>
      <c r="I30" s="5" t="str">
        <f>IF(musicmd[[#This Row],[Views (YouTube)]]&gt;50000000,"Hit",IF(musicmd[[#This Row],[Views (YouTube)]]&gt;10000000,"Average","Low"))</f>
        <v>Hit</v>
      </c>
      <c r="J30" s="5" t="str">
        <f>IF(musicmd[[#This Row],[Views (YouTube)]]&gt;50000000,"High",IF(musicmd[[#This Row],[Views (YouTube)]]&gt;10000000,"Medium","Low"))</f>
        <v>High</v>
      </c>
    </row>
    <row r="31" spans="1:10" x14ac:dyDescent="0.3">
      <c r="A31" t="s">
        <v>115</v>
      </c>
      <c r="B31" t="s">
        <v>116</v>
      </c>
      <c r="C31" s="1" t="s">
        <v>117</v>
      </c>
      <c r="D31" t="s">
        <v>118</v>
      </c>
      <c r="E31">
        <v>2007</v>
      </c>
      <c r="F31" t="s">
        <v>11</v>
      </c>
      <c r="G31" t="s">
        <v>16</v>
      </c>
      <c r="H31" t="s">
        <v>676</v>
      </c>
      <c r="I31" s="5" t="str">
        <f>IF(musicmd[[#This Row],[Views (YouTube)]]&gt;50000000,"Hit",IF(musicmd[[#This Row],[Views (YouTube)]]&gt;10000000,"Average","Low"))</f>
        <v>Hit</v>
      </c>
      <c r="J31" s="5" t="str">
        <f>IF(musicmd[[#This Row],[Views (YouTube)]]&gt;50000000,"High",IF(musicmd[[#This Row],[Views (YouTube)]]&gt;10000000,"Medium","Low"))</f>
        <v>High</v>
      </c>
    </row>
    <row r="32" spans="1:10" x14ac:dyDescent="0.3">
      <c r="A32" t="s">
        <v>119</v>
      </c>
      <c r="B32" t="s">
        <v>120</v>
      </c>
      <c r="C32" s="1" t="s">
        <v>121</v>
      </c>
      <c r="D32" t="s">
        <v>118</v>
      </c>
      <c r="E32">
        <v>2007</v>
      </c>
      <c r="F32" t="s">
        <v>11</v>
      </c>
      <c r="G32" t="s">
        <v>122</v>
      </c>
      <c r="H32" t="s">
        <v>774</v>
      </c>
      <c r="I32" s="5" t="str">
        <f>IF(musicmd[[#This Row],[Views (YouTube)]]&gt;50000000,"Hit",IF(musicmd[[#This Row],[Views (YouTube)]]&gt;10000000,"Average","Low"))</f>
        <v>Hit</v>
      </c>
      <c r="J32" s="5" t="str">
        <f>IF(musicmd[[#This Row],[Views (YouTube)]]&gt;50000000,"High",IF(musicmd[[#This Row],[Views (YouTube)]]&gt;10000000,"Medium","Low"))</f>
        <v>High</v>
      </c>
    </row>
    <row r="33" spans="1:10" x14ac:dyDescent="0.3">
      <c r="A33" t="s">
        <v>123</v>
      </c>
      <c r="B33" t="s">
        <v>124</v>
      </c>
      <c r="C33" t="s">
        <v>125</v>
      </c>
      <c r="D33" t="s">
        <v>126</v>
      </c>
      <c r="E33">
        <v>2023</v>
      </c>
      <c r="F33" t="s">
        <v>11</v>
      </c>
      <c r="G33" t="s">
        <v>66</v>
      </c>
      <c r="H33" t="s">
        <v>775</v>
      </c>
      <c r="I33" s="5" t="str">
        <f>IF(musicmd[[#This Row],[Views (YouTube)]]&gt;50000000,"Hit",IF(musicmd[[#This Row],[Views (YouTube)]]&gt;10000000,"Average","Low"))</f>
        <v>Hit</v>
      </c>
      <c r="J33" s="5" t="str">
        <f>IF(musicmd[[#This Row],[Views (YouTube)]]&gt;50000000,"High",IF(musicmd[[#This Row],[Views (YouTube)]]&gt;10000000,"Medium","Low"))</f>
        <v>High</v>
      </c>
    </row>
    <row r="34" spans="1:10" x14ac:dyDescent="0.3">
      <c r="A34" t="s">
        <v>127</v>
      </c>
      <c r="B34" t="s">
        <v>128</v>
      </c>
      <c r="C34" t="s">
        <v>129</v>
      </c>
      <c r="D34" t="s">
        <v>130</v>
      </c>
      <c r="E34">
        <v>2015</v>
      </c>
      <c r="F34" t="s">
        <v>11</v>
      </c>
      <c r="G34" t="s">
        <v>66</v>
      </c>
      <c r="H34" t="s">
        <v>776</v>
      </c>
      <c r="I34" s="5" t="str">
        <f>IF(musicmd[[#This Row],[Views (YouTube)]]&gt;50000000,"Hit",IF(musicmd[[#This Row],[Views (YouTube)]]&gt;10000000,"Average","Low"))</f>
        <v>Hit</v>
      </c>
      <c r="J34" s="5" t="str">
        <f>IF(musicmd[[#This Row],[Views (YouTube)]]&gt;50000000,"High",IF(musicmd[[#This Row],[Views (YouTube)]]&gt;10000000,"Medium","Low"))</f>
        <v>High</v>
      </c>
    </row>
    <row r="35" spans="1:10" x14ac:dyDescent="0.3">
      <c r="A35" t="s">
        <v>131</v>
      </c>
      <c r="B35" t="s">
        <v>132</v>
      </c>
      <c r="C35" s="1" t="s">
        <v>802</v>
      </c>
      <c r="D35" t="s">
        <v>130</v>
      </c>
      <c r="E35">
        <v>2015</v>
      </c>
      <c r="F35" t="s">
        <v>11</v>
      </c>
      <c r="G35" t="s">
        <v>95</v>
      </c>
      <c r="H35" t="s">
        <v>671</v>
      </c>
      <c r="I35" s="5" t="str">
        <f>IF(musicmd[[#This Row],[Views (YouTube)]]&gt;50000000,"Hit",IF(musicmd[[#This Row],[Views (YouTube)]]&gt;10000000,"Average","Low"))</f>
        <v>Hit</v>
      </c>
      <c r="J35" s="5" t="str">
        <f>IF(musicmd[[#This Row],[Views (YouTube)]]&gt;50000000,"High",IF(musicmd[[#This Row],[Views (YouTube)]]&gt;10000000,"Medium","Low"))</f>
        <v>High</v>
      </c>
    </row>
    <row r="36" spans="1:10" ht="28.8" x14ac:dyDescent="0.3">
      <c r="A36" t="s">
        <v>134</v>
      </c>
      <c r="B36" t="s">
        <v>135</v>
      </c>
      <c r="C36" s="1" t="s">
        <v>803</v>
      </c>
      <c r="D36" t="s">
        <v>130</v>
      </c>
      <c r="E36">
        <v>2015</v>
      </c>
      <c r="F36" t="s">
        <v>11</v>
      </c>
      <c r="G36" t="s">
        <v>51</v>
      </c>
      <c r="H36" t="s">
        <v>777</v>
      </c>
      <c r="I36" s="5" t="str">
        <f>IF(musicmd[[#This Row],[Views (YouTube)]]&gt;50000000,"Hit",IF(musicmd[[#This Row],[Views (YouTube)]]&gt;10000000,"Average","Low"))</f>
        <v>Hit</v>
      </c>
      <c r="J36" s="5" t="str">
        <f>IF(musicmd[[#This Row],[Views (YouTube)]]&gt;50000000,"High",IF(musicmd[[#This Row],[Views (YouTube)]]&gt;10000000,"Medium","Low"))</f>
        <v>High</v>
      </c>
    </row>
    <row r="37" spans="1:10" x14ac:dyDescent="0.3">
      <c r="A37" t="s">
        <v>137</v>
      </c>
      <c r="B37" t="s">
        <v>138</v>
      </c>
      <c r="C37" t="s">
        <v>804</v>
      </c>
      <c r="D37" t="s">
        <v>130</v>
      </c>
      <c r="E37">
        <v>2015</v>
      </c>
      <c r="F37" t="s">
        <v>11</v>
      </c>
      <c r="G37" t="s">
        <v>66</v>
      </c>
      <c r="H37" t="s">
        <v>778</v>
      </c>
      <c r="I37" s="5" t="str">
        <f>IF(musicmd[[#This Row],[Views (YouTube)]]&gt;50000000,"Hit",IF(musicmd[[#This Row],[Views (YouTube)]]&gt;10000000,"Average","Low"))</f>
        <v>Hit</v>
      </c>
      <c r="J37" s="5" t="str">
        <f>IF(musicmd[[#This Row],[Views (YouTube)]]&gt;50000000,"High",IF(musicmd[[#This Row],[Views (YouTube)]]&gt;10000000,"Medium","Low"))</f>
        <v>High</v>
      </c>
    </row>
    <row r="38" spans="1:10" x14ac:dyDescent="0.3">
      <c r="A38" t="s">
        <v>140</v>
      </c>
      <c r="B38" t="s">
        <v>141</v>
      </c>
      <c r="C38" s="1" t="s">
        <v>805</v>
      </c>
      <c r="D38" t="s">
        <v>143</v>
      </c>
      <c r="E38">
        <v>2023</v>
      </c>
      <c r="F38" t="s">
        <v>11</v>
      </c>
      <c r="G38" t="s">
        <v>66</v>
      </c>
      <c r="H38" t="s">
        <v>716</v>
      </c>
      <c r="I38" s="5" t="str">
        <f>IF(musicmd[[#This Row],[Views (YouTube)]]&gt;50000000,"Hit",IF(musicmd[[#This Row],[Views (YouTube)]]&gt;10000000,"Average","Low"))</f>
        <v>Hit</v>
      </c>
      <c r="J38" s="5" t="str">
        <f>IF(musicmd[[#This Row],[Views (YouTube)]]&gt;50000000,"High",IF(musicmd[[#This Row],[Views (YouTube)]]&gt;10000000,"Medium","Low"))</f>
        <v>High</v>
      </c>
    </row>
    <row r="39" spans="1:10" x14ac:dyDescent="0.3">
      <c r="A39" t="s">
        <v>144</v>
      </c>
      <c r="B39" t="s">
        <v>145</v>
      </c>
      <c r="C39" t="s">
        <v>146</v>
      </c>
      <c r="D39" t="s">
        <v>143</v>
      </c>
      <c r="E39">
        <v>2023</v>
      </c>
      <c r="F39" t="s">
        <v>11</v>
      </c>
      <c r="G39" t="s">
        <v>66</v>
      </c>
      <c r="H39" t="s">
        <v>779</v>
      </c>
      <c r="I39" s="5" t="str">
        <f>IF(musicmd[[#This Row],[Views (YouTube)]]&gt;50000000,"Hit",IF(musicmd[[#This Row],[Views (YouTube)]]&gt;10000000,"Average","Low"))</f>
        <v>Hit</v>
      </c>
      <c r="J39" s="5" t="str">
        <f>IF(musicmd[[#This Row],[Views (YouTube)]]&gt;50000000,"High",IF(musicmd[[#This Row],[Views (YouTube)]]&gt;10000000,"Medium","Low"))</f>
        <v>High</v>
      </c>
    </row>
    <row r="40" spans="1:10" x14ac:dyDescent="0.3">
      <c r="A40" t="s">
        <v>147</v>
      </c>
      <c r="B40" t="s">
        <v>148</v>
      </c>
      <c r="C40" s="1" t="s">
        <v>149</v>
      </c>
      <c r="D40" t="s">
        <v>150</v>
      </c>
      <c r="E40">
        <v>2009</v>
      </c>
      <c r="F40" t="s">
        <v>11</v>
      </c>
      <c r="G40" t="s">
        <v>16</v>
      </c>
      <c r="H40" t="s">
        <v>780</v>
      </c>
      <c r="I40" s="5" t="str">
        <f>IF(musicmd[[#This Row],[Views (YouTube)]]&gt;50000000,"Hit",IF(musicmd[[#This Row],[Views (YouTube)]]&gt;10000000,"Average","Low"))</f>
        <v>Hit</v>
      </c>
      <c r="J40" s="5" t="str">
        <f>IF(musicmd[[#This Row],[Views (YouTube)]]&gt;50000000,"High",IF(musicmd[[#This Row],[Views (YouTube)]]&gt;10000000,"Medium","Low"))</f>
        <v>High</v>
      </c>
    </row>
    <row r="41" spans="1:10" x14ac:dyDescent="0.3">
      <c r="A41" t="s">
        <v>151</v>
      </c>
      <c r="B41" t="s">
        <v>152</v>
      </c>
      <c r="C41" s="1" t="s">
        <v>153</v>
      </c>
      <c r="D41" t="s">
        <v>150</v>
      </c>
      <c r="E41">
        <v>2009</v>
      </c>
      <c r="F41" t="s">
        <v>11</v>
      </c>
      <c r="G41" t="s">
        <v>154</v>
      </c>
      <c r="H41" t="s">
        <v>765</v>
      </c>
      <c r="I41" s="5" t="str">
        <f>IF(musicmd[[#This Row],[Views (YouTube)]]&gt;50000000,"Hit",IF(musicmd[[#This Row],[Views (YouTube)]]&gt;10000000,"Average","Low"))</f>
        <v>Hit</v>
      </c>
      <c r="J41" s="5" t="str">
        <f>IF(musicmd[[#This Row],[Views (YouTube)]]&gt;50000000,"High",IF(musicmd[[#This Row],[Views (YouTube)]]&gt;10000000,"Medium","Low"))</f>
        <v>High</v>
      </c>
    </row>
    <row r="42" spans="1:10" x14ac:dyDescent="0.3">
      <c r="A42" t="s">
        <v>155</v>
      </c>
      <c r="B42" t="s">
        <v>156</v>
      </c>
      <c r="C42" s="1" t="s">
        <v>157</v>
      </c>
      <c r="D42" t="s">
        <v>158</v>
      </c>
      <c r="E42">
        <v>2005</v>
      </c>
      <c r="F42" t="s">
        <v>11</v>
      </c>
      <c r="G42" t="s">
        <v>122</v>
      </c>
      <c r="H42" t="s">
        <v>717</v>
      </c>
      <c r="I42" s="5" t="str">
        <f>IF(musicmd[[#This Row],[Views (YouTube)]]&gt;50000000,"Hit",IF(musicmd[[#This Row],[Views (YouTube)]]&gt;10000000,"Average","Low"))</f>
        <v>Hit</v>
      </c>
      <c r="J42" s="5" t="str">
        <f>IF(musicmd[[#This Row],[Views (YouTube)]]&gt;50000000,"High",IF(musicmd[[#This Row],[Views (YouTube)]]&gt;10000000,"Medium","Low"))</f>
        <v>High</v>
      </c>
    </row>
    <row r="43" spans="1:10" x14ac:dyDescent="0.3">
      <c r="A43" t="s">
        <v>159</v>
      </c>
      <c r="B43" t="s">
        <v>160</v>
      </c>
      <c r="C43" s="1" t="s">
        <v>161</v>
      </c>
      <c r="D43" t="s">
        <v>158</v>
      </c>
      <c r="E43">
        <v>2005</v>
      </c>
      <c r="F43" t="s">
        <v>11</v>
      </c>
      <c r="G43" t="s">
        <v>122</v>
      </c>
      <c r="H43" t="s">
        <v>765</v>
      </c>
      <c r="I43" s="5" t="str">
        <f>IF(musicmd[[#This Row],[Views (YouTube)]]&gt;50000000,"Hit",IF(musicmd[[#This Row],[Views (YouTube)]]&gt;10000000,"Average","Low"))</f>
        <v>Hit</v>
      </c>
      <c r="J43" s="5" t="str">
        <f>IF(musicmd[[#This Row],[Views (YouTube)]]&gt;50000000,"High",IF(musicmd[[#This Row],[Views (YouTube)]]&gt;10000000,"Medium","Low"))</f>
        <v>High</v>
      </c>
    </row>
    <row r="44" spans="1:10" x14ac:dyDescent="0.3">
      <c r="A44" t="s">
        <v>162</v>
      </c>
      <c r="B44" t="s">
        <v>163</v>
      </c>
      <c r="C44" s="1" t="s">
        <v>164</v>
      </c>
      <c r="D44" t="s">
        <v>158</v>
      </c>
      <c r="E44">
        <v>2005</v>
      </c>
      <c r="F44" t="s">
        <v>11</v>
      </c>
      <c r="G44" t="s">
        <v>122</v>
      </c>
      <c r="H44" t="s">
        <v>781</v>
      </c>
      <c r="I44" s="5" t="str">
        <f>IF(musicmd[[#This Row],[Views (YouTube)]]&gt;50000000,"Hit",IF(musicmd[[#This Row],[Views (YouTube)]]&gt;10000000,"Average","Low"))</f>
        <v>Hit</v>
      </c>
      <c r="J44" s="5" t="str">
        <f>IF(musicmd[[#This Row],[Views (YouTube)]]&gt;50000000,"High",IF(musicmd[[#This Row],[Views (YouTube)]]&gt;10000000,"Medium","Low"))</f>
        <v>High</v>
      </c>
    </row>
    <row r="45" spans="1:10" x14ac:dyDescent="0.3">
      <c r="A45" t="s">
        <v>165</v>
      </c>
      <c r="B45" t="s">
        <v>166</v>
      </c>
      <c r="C45" s="1" t="s">
        <v>167</v>
      </c>
      <c r="D45" t="s">
        <v>168</v>
      </c>
      <c r="E45">
        <v>2011</v>
      </c>
      <c r="F45" t="s">
        <v>11</v>
      </c>
      <c r="G45" t="s">
        <v>16</v>
      </c>
      <c r="H45" t="s">
        <v>782</v>
      </c>
      <c r="I45" s="5" t="str">
        <f>IF(musicmd[[#This Row],[Views (YouTube)]]&gt;50000000,"Hit",IF(musicmd[[#This Row],[Views (YouTube)]]&gt;10000000,"Average","Low"))</f>
        <v>Hit</v>
      </c>
      <c r="J45" s="5" t="str">
        <f>IF(musicmd[[#This Row],[Views (YouTube)]]&gt;50000000,"High",IF(musicmd[[#This Row],[Views (YouTube)]]&gt;10000000,"Medium","Low"))</f>
        <v>High</v>
      </c>
    </row>
    <row r="46" spans="1:10" x14ac:dyDescent="0.3">
      <c r="A46" t="s">
        <v>169</v>
      </c>
      <c r="B46" t="s">
        <v>170</v>
      </c>
      <c r="C46" s="1" t="s">
        <v>171</v>
      </c>
      <c r="D46" t="s">
        <v>172</v>
      </c>
      <c r="E46">
        <v>2015</v>
      </c>
      <c r="F46" t="s">
        <v>11</v>
      </c>
      <c r="G46" t="s">
        <v>66</v>
      </c>
      <c r="H46" t="s">
        <v>661</v>
      </c>
      <c r="I46" s="5" t="str">
        <f>IF(musicmd[[#This Row],[Views (YouTube)]]&gt;50000000,"Hit",IF(musicmd[[#This Row],[Views (YouTube)]]&gt;10000000,"Average","Low"))</f>
        <v>Hit</v>
      </c>
      <c r="J46" s="5" t="str">
        <f>IF(musicmd[[#This Row],[Views (YouTube)]]&gt;50000000,"High",IF(musicmd[[#This Row],[Views (YouTube)]]&gt;10000000,"Medium","Low"))</f>
        <v>High</v>
      </c>
    </row>
    <row r="47" spans="1:10" x14ac:dyDescent="0.3">
      <c r="A47" t="s">
        <v>173</v>
      </c>
      <c r="B47" t="s">
        <v>174</v>
      </c>
      <c r="C47" s="1" t="s">
        <v>175</v>
      </c>
      <c r="D47" t="s">
        <v>172</v>
      </c>
      <c r="E47">
        <v>2015</v>
      </c>
      <c r="F47" t="s">
        <v>11</v>
      </c>
      <c r="G47" t="s">
        <v>47</v>
      </c>
      <c r="H47" t="s">
        <v>783</v>
      </c>
      <c r="I47" s="5" t="str">
        <f>IF(musicmd[[#This Row],[Views (YouTube)]]&gt;50000000,"Hit",IF(musicmd[[#This Row],[Views (YouTube)]]&gt;10000000,"Average","Low"))</f>
        <v>Hit</v>
      </c>
      <c r="J47" s="5" t="str">
        <f>IF(musicmd[[#This Row],[Views (YouTube)]]&gt;50000000,"High",IF(musicmd[[#This Row],[Views (YouTube)]]&gt;10000000,"Medium","Low"))</f>
        <v>High</v>
      </c>
    </row>
    <row r="48" spans="1:10" x14ac:dyDescent="0.3">
      <c r="A48" t="s">
        <v>176</v>
      </c>
      <c r="B48" t="s">
        <v>177</v>
      </c>
      <c r="C48" s="1" t="s">
        <v>178</v>
      </c>
      <c r="D48" t="s">
        <v>172</v>
      </c>
      <c r="E48">
        <v>2015</v>
      </c>
      <c r="F48" t="s">
        <v>11</v>
      </c>
      <c r="G48" t="s">
        <v>66</v>
      </c>
      <c r="H48" t="s">
        <v>778</v>
      </c>
      <c r="I48" s="5" t="str">
        <f>IF(musicmd[[#This Row],[Views (YouTube)]]&gt;50000000,"Hit",IF(musicmd[[#This Row],[Views (YouTube)]]&gt;10000000,"Average","Low"))</f>
        <v>Hit</v>
      </c>
      <c r="J48" s="5" t="str">
        <f>IF(musicmd[[#This Row],[Views (YouTube)]]&gt;50000000,"High",IF(musicmd[[#This Row],[Views (YouTube)]]&gt;10000000,"Medium","Low"))</f>
        <v>High</v>
      </c>
    </row>
    <row r="49" spans="1:10" x14ac:dyDescent="0.3">
      <c r="A49" t="s">
        <v>179</v>
      </c>
      <c r="B49" t="s">
        <v>180</v>
      </c>
      <c r="C49" s="1" t="s">
        <v>181</v>
      </c>
      <c r="D49" t="s">
        <v>172</v>
      </c>
      <c r="E49">
        <v>2015</v>
      </c>
      <c r="F49" t="s">
        <v>11</v>
      </c>
      <c r="G49" t="s">
        <v>16</v>
      </c>
      <c r="H49" t="s">
        <v>784</v>
      </c>
      <c r="I49" s="5" t="str">
        <f>IF(musicmd[[#This Row],[Views (YouTube)]]&gt;50000000,"Hit",IF(musicmd[[#This Row],[Views (YouTube)]]&gt;10000000,"Average","Low"))</f>
        <v>Hit</v>
      </c>
      <c r="J49" s="5" t="str">
        <f>IF(musicmd[[#This Row],[Views (YouTube)]]&gt;50000000,"High",IF(musicmd[[#This Row],[Views (YouTube)]]&gt;10000000,"Medium","Low"))</f>
        <v>High</v>
      </c>
    </row>
    <row r="50" spans="1:10" x14ac:dyDescent="0.3">
      <c r="A50" t="s">
        <v>182</v>
      </c>
      <c r="B50" t="s">
        <v>183</v>
      </c>
      <c r="C50" s="1" t="s">
        <v>184</v>
      </c>
      <c r="D50" t="s">
        <v>172</v>
      </c>
      <c r="E50">
        <v>2015</v>
      </c>
      <c r="F50" t="s">
        <v>11</v>
      </c>
      <c r="G50" t="s">
        <v>66</v>
      </c>
      <c r="H50" t="s">
        <v>775</v>
      </c>
      <c r="I50" s="5" t="str">
        <f>IF(musicmd[[#This Row],[Views (YouTube)]]&gt;50000000,"Hit",IF(musicmd[[#This Row],[Views (YouTube)]]&gt;10000000,"Average","Low"))</f>
        <v>Hit</v>
      </c>
      <c r="J50" s="5" t="str">
        <f>IF(musicmd[[#This Row],[Views (YouTube)]]&gt;50000000,"High",IF(musicmd[[#This Row],[Views (YouTube)]]&gt;10000000,"Medium","Low"))</f>
        <v>High</v>
      </c>
    </row>
    <row r="51" spans="1:10" x14ac:dyDescent="0.3">
      <c r="A51" t="s">
        <v>185</v>
      </c>
      <c r="B51" t="s">
        <v>186</v>
      </c>
      <c r="C51" s="1" t="s">
        <v>187</v>
      </c>
      <c r="D51" t="s">
        <v>188</v>
      </c>
      <c r="E51">
        <v>2013</v>
      </c>
      <c r="F51" t="s">
        <v>11</v>
      </c>
      <c r="G51" t="s">
        <v>16</v>
      </c>
      <c r="H51" t="s">
        <v>785</v>
      </c>
      <c r="I51" s="5" t="str">
        <f>IF(musicmd[[#This Row],[Views (YouTube)]]&gt;50000000,"Hit",IF(musicmd[[#This Row],[Views (YouTube)]]&gt;10000000,"Average","Low"))</f>
        <v>Hit</v>
      </c>
      <c r="J51" s="5" t="str">
        <f>IF(musicmd[[#This Row],[Views (YouTube)]]&gt;50000000,"High",IF(musicmd[[#This Row],[Views (YouTube)]]&gt;10000000,"Medium","Low"))</f>
        <v>High</v>
      </c>
    </row>
    <row r="52" spans="1:10" x14ac:dyDescent="0.3">
      <c r="A52" t="s">
        <v>189</v>
      </c>
      <c r="B52" t="s">
        <v>190</v>
      </c>
      <c r="C52" s="1" t="s">
        <v>806</v>
      </c>
      <c r="D52" t="s">
        <v>192</v>
      </c>
      <c r="E52">
        <v>2023</v>
      </c>
      <c r="F52" t="s">
        <v>11</v>
      </c>
      <c r="G52" t="s">
        <v>42</v>
      </c>
      <c r="H52" t="s">
        <v>786</v>
      </c>
      <c r="I52" s="5" t="str">
        <f>IF(musicmd[[#This Row],[Views (YouTube)]]&gt;50000000,"Hit",IF(musicmd[[#This Row],[Views (YouTube)]]&gt;10000000,"Average","Low"))</f>
        <v>Hit</v>
      </c>
      <c r="J52" s="5" t="str">
        <f>IF(musicmd[[#This Row],[Views (YouTube)]]&gt;50000000,"High",IF(musicmd[[#This Row],[Views (YouTube)]]&gt;10000000,"Medium","Low"))</f>
        <v>High</v>
      </c>
    </row>
    <row r="53" spans="1:10" x14ac:dyDescent="0.3">
      <c r="A53" t="s">
        <v>193</v>
      </c>
      <c r="B53" t="s">
        <v>194</v>
      </c>
      <c r="C53" s="1" t="s">
        <v>195</v>
      </c>
      <c r="D53" t="s">
        <v>196</v>
      </c>
      <c r="E53">
        <v>2013</v>
      </c>
      <c r="F53" t="s">
        <v>197</v>
      </c>
      <c r="G53" t="s">
        <v>66</v>
      </c>
      <c r="H53" t="s">
        <v>787</v>
      </c>
      <c r="I53" s="5" t="str">
        <f>IF(musicmd[[#This Row],[Views (YouTube)]]&gt;50000000,"Hit",IF(musicmd[[#This Row],[Views (YouTube)]]&gt;10000000,"Average","Low"))</f>
        <v>Hit</v>
      </c>
      <c r="J53" s="5" t="str">
        <f>IF(musicmd[[#This Row],[Views (YouTube)]]&gt;50000000,"High",IF(musicmd[[#This Row],[Views (YouTube)]]&gt;10000000,"Medium","Low"))</f>
        <v>High</v>
      </c>
    </row>
    <row r="54" spans="1:10" x14ac:dyDescent="0.3">
      <c r="A54" t="s">
        <v>198</v>
      </c>
      <c r="B54" t="s">
        <v>199</v>
      </c>
      <c r="C54" s="1" t="s">
        <v>807</v>
      </c>
      <c r="D54" t="s">
        <v>196</v>
      </c>
      <c r="E54">
        <v>2013</v>
      </c>
      <c r="F54" t="s">
        <v>197</v>
      </c>
      <c r="G54" t="s">
        <v>201</v>
      </c>
      <c r="H54" t="s">
        <v>788</v>
      </c>
      <c r="I54" s="5" t="str">
        <f>IF(musicmd[[#This Row],[Views (YouTube)]]&gt;50000000,"Hit",IF(musicmd[[#This Row],[Views (YouTube)]]&gt;10000000,"Average","Low"))</f>
        <v>Hit</v>
      </c>
      <c r="J54" s="5" t="str">
        <f>IF(musicmd[[#This Row],[Views (YouTube)]]&gt;50000000,"High",IF(musicmd[[#This Row],[Views (YouTube)]]&gt;10000000,"Medium","Low"))</f>
        <v>High</v>
      </c>
    </row>
    <row r="55" spans="1:10" x14ac:dyDescent="0.3">
      <c r="A55" t="s">
        <v>202</v>
      </c>
      <c r="B55" t="s">
        <v>203</v>
      </c>
      <c r="C55" s="1" t="s">
        <v>204</v>
      </c>
      <c r="D55" t="s">
        <v>205</v>
      </c>
      <c r="E55">
        <v>2019</v>
      </c>
      <c r="F55" t="s">
        <v>197</v>
      </c>
      <c r="G55" t="s">
        <v>95</v>
      </c>
      <c r="H55" t="s">
        <v>789</v>
      </c>
      <c r="I55" s="5" t="str">
        <f>IF(musicmd[[#This Row],[Views (YouTube)]]&gt;50000000,"Hit",IF(musicmd[[#This Row],[Views (YouTube)]]&gt;10000000,"Average","Low"))</f>
        <v>Hit</v>
      </c>
      <c r="J55" s="5" t="str">
        <f>IF(musicmd[[#This Row],[Views (YouTube)]]&gt;50000000,"High",IF(musicmd[[#This Row],[Views (YouTube)]]&gt;10000000,"Medium","Low"))</f>
        <v>High</v>
      </c>
    </row>
    <row r="56" spans="1:10" x14ac:dyDescent="0.3">
      <c r="A56" t="s">
        <v>206</v>
      </c>
      <c r="B56" t="s">
        <v>207</v>
      </c>
      <c r="C56" t="s">
        <v>807</v>
      </c>
      <c r="D56" t="s">
        <v>209</v>
      </c>
      <c r="E56">
        <v>2013</v>
      </c>
      <c r="F56" t="s">
        <v>197</v>
      </c>
      <c r="G56" t="s">
        <v>201</v>
      </c>
      <c r="H56" t="s">
        <v>790</v>
      </c>
      <c r="I56" s="5" t="str">
        <f>IF(musicmd[[#This Row],[Views (YouTube)]]&gt;50000000,"Hit",IF(musicmd[[#This Row],[Views (YouTube)]]&gt;10000000,"Average","Low"))</f>
        <v>Hit</v>
      </c>
      <c r="J56" s="5" t="str">
        <f>IF(musicmd[[#This Row],[Views (YouTube)]]&gt;50000000,"High",IF(musicmd[[#This Row],[Views (YouTube)]]&gt;10000000,"Medium","Low"))</f>
        <v>High</v>
      </c>
    </row>
    <row r="57" spans="1:10" x14ac:dyDescent="0.3">
      <c r="A57" t="s">
        <v>210</v>
      </c>
      <c r="B57" t="s">
        <v>211</v>
      </c>
      <c r="C57" s="1" t="s">
        <v>808</v>
      </c>
      <c r="D57" t="s">
        <v>211</v>
      </c>
      <c r="E57">
        <v>2021</v>
      </c>
      <c r="F57" t="s">
        <v>197</v>
      </c>
      <c r="G57" t="s">
        <v>66</v>
      </c>
      <c r="H57" t="s">
        <v>791</v>
      </c>
      <c r="I57" s="5" t="str">
        <f>IF(musicmd[[#This Row],[Views (YouTube)]]&gt;50000000,"Hit",IF(musicmd[[#This Row],[Views (YouTube)]]&gt;10000000,"Average","Low"))</f>
        <v>Hit</v>
      </c>
      <c r="J57" s="5" t="str">
        <f>IF(musicmd[[#This Row],[Views (YouTube)]]&gt;50000000,"High",IF(musicmd[[#This Row],[Views (YouTube)]]&gt;10000000,"Medium","Low"))</f>
        <v>High</v>
      </c>
    </row>
    <row r="58" spans="1:10" x14ac:dyDescent="0.3">
      <c r="A58" t="s">
        <v>213</v>
      </c>
      <c r="B58" t="s">
        <v>214</v>
      </c>
      <c r="C58" t="s">
        <v>809</v>
      </c>
      <c r="D58" t="s">
        <v>216</v>
      </c>
      <c r="E58">
        <v>2022</v>
      </c>
      <c r="F58" t="s">
        <v>197</v>
      </c>
      <c r="G58" t="s">
        <v>16</v>
      </c>
      <c r="H58" t="s">
        <v>660</v>
      </c>
      <c r="I58" s="5" t="str">
        <f>IF(musicmd[[#This Row],[Views (YouTube)]]&gt;50000000,"Hit",IF(musicmd[[#This Row],[Views (YouTube)]]&gt;10000000,"Average","Low"))</f>
        <v>Hit</v>
      </c>
      <c r="J58" s="5" t="str">
        <f>IF(musicmd[[#This Row],[Views (YouTube)]]&gt;50000000,"High",IF(musicmd[[#This Row],[Views (YouTube)]]&gt;10000000,"Medium","Low"))</f>
        <v>High</v>
      </c>
    </row>
    <row r="59" spans="1:10" ht="28.8" x14ac:dyDescent="0.3">
      <c r="A59" t="s">
        <v>217</v>
      </c>
      <c r="B59" t="s">
        <v>218</v>
      </c>
      <c r="C59" s="1" t="s">
        <v>810</v>
      </c>
      <c r="D59" t="s">
        <v>220</v>
      </c>
      <c r="E59">
        <v>2012</v>
      </c>
      <c r="F59" t="s">
        <v>197</v>
      </c>
      <c r="G59" t="s">
        <v>42</v>
      </c>
      <c r="H59" t="s">
        <v>661</v>
      </c>
      <c r="I59" s="5" t="str">
        <f>IF(musicmd[[#This Row],[Views (YouTube)]]&gt;50000000,"Hit",IF(musicmd[[#This Row],[Views (YouTube)]]&gt;10000000,"Average","Low"))</f>
        <v>Hit</v>
      </c>
      <c r="J59" s="5" t="str">
        <f>IF(musicmd[[#This Row],[Views (YouTube)]]&gt;50000000,"High",IF(musicmd[[#This Row],[Views (YouTube)]]&gt;10000000,"Medium","Low"))</f>
        <v>High</v>
      </c>
    </row>
    <row r="60" spans="1:10" x14ac:dyDescent="0.3">
      <c r="A60" t="s">
        <v>221</v>
      </c>
      <c r="B60" t="s">
        <v>222</v>
      </c>
      <c r="C60" s="1" t="s">
        <v>811</v>
      </c>
      <c r="D60" t="s">
        <v>220</v>
      </c>
      <c r="E60">
        <v>2012</v>
      </c>
      <c r="F60" t="s">
        <v>197</v>
      </c>
      <c r="G60" t="s">
        <v>224</v>
      </c>
      <c r="H60" t="s">
        <v>662</v>
      </c>
      <c r="I60" s="5" t="str">
        <f>IF(musicmd[[#This Row],[Views (YouTube)]]&gt;50000000,"Hit",IF(musicmd[[#This Row],[Views (YouTube)]]&gt;10000000,"Average","Low"))</f>
        <v>Hit</v>
      </c>
      <c r="J60" s="5" t="str">
        <f>IF(musicmd[[#This Row],[Views (YouTube)]]&gt;50000000,"High",IF(musicmd[[#This Row],[Views (YouTube)]]&gt;10000000,"Medium","Low"))</f>
        <v>High</v>
      </c>
    </row>
    <row r="61" spans="1:10" x14ac:dyDescent="0.3">
      <c r="A61" t="s">
        <v>225</v>
      </c>
      <c r="B61" t="s">
        <v>226</v>
      </c>
      <c r="C61" s="1" t="s">
        <v>227</v>
      </c>
      <c r="D61" t="s">
        <v>228</v>
      </c>
      <c r="E61">
        <v>2014</v>
      </c>
      <c r="F61" t="s">
        <v>197</v>
      </c>
      <c r="G61" t="s">
        <v>66</v>
      </c>
      <c r="H61" t="s">
        <v>663</v>
      </c>
      <c r="I61" s="5" t="str">
        <f>IF(musicmd[[#This Row],[Views (YouTube)]]&gt;50000000,"Hit",IF(musicmd[[#This Row],[Views (YouTube)]]&gt;10000000,"Average","Low"))</f>
        <v>Hit</v>
      </c>
      <c r="J61" s="5" t="str">
        <f>IF(musicmd[[#This Row],[Views (YouTube)]]&gt;50000000,"High",IF(musicmd[[#This Row],[Views (YouTube)]]&gt;10000000,"Medium","Low"))</f>
        <v>High</v>
      </c>
    </row>
    <row r="62" spans="1:10" x14ac:dyDescent="0.3">
      <c r="A62" t="s">
        <v>229</v>
      </c>
      <c r="B62" t="s">
        <v>230</v>
      </c>
      <c r="C62" s="1" t="s">
        <v>812</v>
      </c>
      <c r="D62" t="s">
        <v>232</v>
      </c>
      <c r="E62">
        <v>2009</v>
      </c>
      <c r="F62" t="s">
        <v>197</v>
      </c>
      <c r="G62" t="s">
        <v>25</v>
      </c>
      <c r="H62" t="s">
        <v>664</v>
      </c>
      <c r="I62" s="5" t="str">
        <f>IF(musicmd[[#This Row],[Views (YouTube)]]&gt;50000000,"Hit",IF(musicmd[[#This Row],[Views (YouTube)]]&gt;10000000,"Average","Low"))</f>
        <v>Hit</v>
      </c>
      <c r="J62" s="5" t="str">
        <f>IF(musicmd[[#This Row],[Views (YouTube)]]&gt;50000000,"High",IF(musicmd[[#This Row],[Views (YouTube)]]&gt;10000000,"Medium","Low"))</f>
        <v>High</v>
      </c>
    </row>
    <row r="63" spans="1:10" x14ac:dyDescent="0.3">
      <c r="A63" t="s">
        <v>233</v>
      </c>
      <c r="B63" t="s">
        <v>234</v>
      </c>
      <c r="C63" t="s">
        <v>235</v>
      </c>
      <c r="D63" t="s">
        <v>236</v>
      </c>
      <c r="E63">
        <v>2021</v>
      </c>
      <c r="F63" t="s">
        <v>197</v>
      </c>
      <c r="G63" t="s">
        <v>66</v>
      </c>
      <c r="H63" t="s">
        <v>665</v>
      </c>
      <c r="I63" s="5" t="str">
        <f>IF(musicmd[[#This Row],[Views (YouTube)]]&gt;50000000,"Hit",IF(musicmd[[#This Row],[Views (YouTube)]]&gt;10000000,"Average","Low"))</f>
        <v>Hit</v>
      </c>
      <c r="J63" s="5" t="str">
        <f>IF(musicmd[[#This Row],[Views (YouTube)]]&gt;50000000,"High",IF(musicmd[[#This Row],[Views (YouTube)]]&gt;10000000,"Medium","Low"))</f>
        <v>High</v>
      </c>
    </row>
    <row r="64" spans="1:10" x14ac:dyDescent="0.3">
      <c r="A64" t="s">
        <v>237</v>
      </c>
      <c r="B64" t="s">
        <v>238</v>
      </c>
      <c r="C64" t="s">
        <v>256</v>
      </c>
      <c r="D64" t="s">
        <v>240</v>
      </c>
      <c r="E64">
        <v>2019</v>
      </c>
      <c r="F64" t="s">
        <v>197</v>
      </c>
      <c r="G64" t="s">
        <v>42</v>
      </c>
      <c r="H64" t="s">
        <v>666</v>
      </c>
      <c r="I64" s="5" t="str">
        <f>IF(musicmd[[#This Row],[Views (YouTube)]]&gt;50000000,"Hit",IF(musicmd[[#This Row],[Views (YouTube)]]&gt;10000000,"Average","Low"))</f>
        <v>Hit</v>
      </c>
      <c r="J64" s="5" t="str">
        <f>IF(musicmd[[#This Row],[Views (YouTube)]]&gt;50000000,"High",IF(musicmd[[#This Row],[Views (YouTube)]]&gt;10000000,"Medium","Low"))</f>
        <v>High</v>
      </c>
    </row>
    <row r="65" spans="1:10" x14ac:dyDescent="0.3">
      <c r="A65" t="s">
        <v>241</v>
      </c>
      <c r="B65" t="s">
        <v>242</v>
      </c>
      <c r="C65" t="s">
        <v>243</v>
      </c>
      <c r="D65" t="s">
        <v>240</v>
      </c>
      <c r="E65">
        <v>2019</v>
      </c>
      <c r="F65" t="s">
        <v>197</v>
      </c>
      <c r="G65" t="s">
        <v>122</v>
      </c>
      <c r="H65" t="s">
        <v>667</v>
      </c>
      <c r="I65" s="5" t="str">
        <f>IF(musicmd[[#This Row],[Views (YouTube)]]&gt;50000000,"Hit",IF(musicmd[[#This Row],[Views (YouTube)]]&gt;10000000,"Average","Low"))</f>
        <v>Hit</v>
      </c>
      <c r="J65" s="5" t="str">
        <f>IF(musicmd[[#This Row],[Views (YouTube)]]&gt;50000000,"High",IF(musicmd[[#This Row],[Views (YouTube)]]&gt;10000000,"Medium","Low"))</f>
        <v>High</v>
      </c>
    </row>
    <row r="66" spans="1:10" x14ac:dyDescent="0.3">
      <c r="A66" t="s">
        <v>244</v>
      </c>
      <c r="B66" t="s">
        <v>245</v>
      </c>
      <c r="C66" s="1" t="s">
        <v>813</v>
      </c>
      <c r="D66" t="s">
        <v>240</v>
      </c>
      <c r="E66">
        <v>2019</v>
      </c>
      <c r="F66" t="s">
        <v>197</v>
      </c>
      <c r="G66" t="s">
        <v>42</v>
      </c>
      <c r="H66" t="s">
        <v>661</v>
      </c>
      <c r="I66" s="5" t="str">
        <f>IF(musicmd[[#This Row],[Views (YouTube)]]&gt;50000000,"Hit",IF(musicmd[[#This Row],[Views (YouTube)]]&gt;10000000,"Average","Low"))</f>
        <v>Hit</v>
      </c>
      <c r="J66" s="5" t="str">
        <f>IF(musicmd[[#This Row],[Views (YouTube)]]&gt;50000000,"High",IF(musicmd[[#This Row],[Views (YouTube)]]&gt;10000000,"Medium","Low"))</f>
        <v>High</v>
      </c>
    </row>
    <row r="67" spans="1:10" ht="28.8" x14ac:dyDescent="0.3">
      <c r="A67" t="s">
        <v>247</v>
      </c>
      <c r="B67" t="s">
        <v>248</v>
      </c>
      <c r="C67" s="1" t="s">
        <v>814</v>
      </c>
      <c r="D67" t="s">
        <v>250</v>
      </c>
      <c r="E67">
        <v>2021</v>
      </c>
      <c r="F67" t="s">
        <v>197</v>
      </c>
      <c r="G67" t="s">
        <v>122</v>
      </c>
      <c r="H67" t="s">
        <v>668</v>
      </c>
      <c r="I67" s="5" t="str">
        <f>IF(musicmd[[#This Row],[Views (YouTube)]]&gt;50000000,"Hit",IF(musicmd[[#This Row],[Views (YouTube)]]&gt;10000000,"Average","Low"))</f>
        <v>Hit</v>
      </c>
      <c r="J67" s="5" t="str">
        <f>IF(musicmd[[#This Row],[Views (YouTube)]]&gt;50000000,"High",IF(musicmd[[#This Row],[Views (YouTube)]]&gt;10000000,"Medium","Low"))</f>
        <v>High</v>
      </c>
    </row>
    <row r="68" spans="1:10" x14ac:dyDescent="0.3">
      <c r="A68" t="s">
        <v>251</v>
      </c>
      <c r="B68" t="s">
        <v>252</v>
      </c>
      <c r="C68" t="s">
        <v>813</v>
      </c>
      <c r="D68" t="s">
        <v>250</v>
      </c>
      <c r="E68">
        <v>2021</v>
      </c>
      <c r="F68" t="s">
        <v>197</v>
      </c>
      <c r="G68" t="s">
        <v>16</v>
      </c>
      <c r="H68" t="s">
        <v>669</v>
      </c>
      <c r="I68" s="5" t="str">
        <f>IF(musicmd[[#This Row],[Views (YouTube)]]&gt;50000000,"Hit",IF(musicmd[[#This Row],[Views (YouTube)]]&gt;10000000,"Average","Low"))</f>
        <v>Hit</v>
      </c>
      <c r="J68" s="5" t="str">
        <f>IF(musicmd[[#This Row],[Views (YouTube)]]&gt;50000000,"High",IF(musicmd[[#This Row],[Views (YouTube)]]&gt;10000000,"Medium","Low"))</f>
        <v>High</v>
      </c>
    </row>
    <row r="69" spans="1:10" x14ac:dyDescent="0.3">
      <c r="A69" t="s">
        <v>254</v>
      </c>
      <c r="B69" t="s">
        <v>255</v>
      </c>
      <c r="C69" t="s">
        <v>815</v>
      </c>
      <c r="D69" t="s">
        <v>250</v>
      </c>
      <c r="E69">
        <v>2021</v>
      </c>
      <c r="F69" t="s">
        <v>197</v>
      </c>
      <c r="G69" t="s">
        <v>66</v>
      </c>
      <c r="H69" t="s">
        <v>670</v>
      </c>
      <c r="I69" s="5" t="str">
        <f>IF(musicmd[[#This Row],[Views (YouTube)]]&gt;50000000,"Hit",IF(musicmd[[#This Row],[Views (YouTube)]]&gt;10000000,"Average","Low"))</f>
        <v>Hit</v>
      </c>
      <c r="J69" s="5" t="str">
        <f>IF(musicmd[[#This Row],[Views (YouTube)]]&gt;50000000,"High",IF(musicmd[[#This Row],[Views (YouTube)]]&gt;10000000,"Medium","Low"))</f>
        <v>High</v>
      </c>
    </row>
    <row r="70" spans="1:10" x14ac:dyDescent="0.3">
      <c r="A70" t="s">
        <v>257</v>
      </c>
      <c r="B70" t="s">
        <v>258</v>
      </c>
      <c r="C70" t="s">
        <v>816</v>
      </c>
      <c r="D70" t="s">
        <v>260</v>
      </c>
      <c r="E70">
        <v>2024</v>
      </c>
      <c r="F70" t="s">
        <v>197</v>
      </c>
      <c r="G70" t="s">
        <v>16</v>
      </c>
      <c r="H70" t="s">
        <v>671</v>
      </c>
      <c r="I70" s="5" t="str">
        <f>IF(musicmd[[#This Row],[Views (YouTube)]]&gt;50000000,"Hit",IF(musicmd[[#This Row],[Views (YouTube)]]&gt;10000000,"Average","Low"))</f>
        <v>Hit</v>
      </c>
      <c r="J70" s="5" t="str">
        <f>IF(musicmd[[#This Row],[Views (YouTube)]]&gt;50000000,"High",IF(musicmd[[#This Row],[Views (YouTube)]]&gt;10000000,"Medium","Low"))</f>
        <v>High</v>
      </c>
    </row>
    <row r="71" spans="1:10" x14ac:dyDescent="0.3">
      <c r="A71" t="s">
        <v>261</v>
      </c>
      <c r="B71" t="s">
        <v>262</v>
      </c>
      <c r="C71" t="s">
        <v>263</v>
      </c>
      <c r="D71" t="s">
        <v>260</v>
      </c>
      <c r="E71">
        <v>2024</v>
      </c>
      <c r="F71" t="s">
        <v>197</v>
      </c>
      <c r="G71" t="s">
        <v>66</v>
      </c>
      <c r="H71" t="s">
        <v>672</v>
      </c>
      <c r="I71" s="5" t="str">
        <f>IF(musicmd[[#This Row],[Views (YouTube)]]&gt;50000000,"Hit",IF(musicmd[[#This Row],[Views (YouTube)]]&gt;10000000,"Average","Low"))</f>
        <v>Hit</v>
      </c>
      <c r="J71" s="5" t="str">
        <f>IF(musicmd[[#This Row],[Views (YouTube)]]&gt;50000000,"High",IF(musicmd[[#This Row],[Views (YouTube)]]&gt;10000000,"Medium","Low"))</f>
        <v>High</v>
      </c>
    </row>
    <row r="72" spans="1:10" x14ac:dyDescent="0.3">
      <c r="A72" t="s">
        <v>264</v>
      </c>
      <c r="B72" t="s">
        <v>265</v>
      </c>
      <c r="C72" s="1" t="s">
        <v>817</v>
      </c>
      <c r="D72" t="s">
        <v>260</v>
      </c>
      <c r="E72">
        <v>2024</v>
      </c>
      <c r="F72" t="s">
        <v>197</v>
      </c>
      <c r="G72" t="s">
        <v>66</v>
      </c>
      <c r="H72" t="s">
        <v>673</v>
      </c>
      <c r="I72" s="5" t="str">
        <f>IF(musicmd[[#This Row],[Views (YouTube)]]&gt;50000000,"Hit",IF(musicmd[[#This Row],[Views (YouTube)]]&gt;10000000,"Average","Low"))</f>
        <v>Hit</v>
      </c>
      <c r="J72" s="5" t="str">
        <f>IF(musicmd[[#This Row],[Views (YouTube)]]&gt;50000000,"High",IF(musicmd[[#This Row],[Views (YouTube)]]&gt;10000000,"Medium","Low"))</f>
        <v>High</v>
      </c>
    </row>
    <row r="73" spans="1:10" ht="28.8" x14ac:dyDescent="0.3">
      <c r="A73" t="s">
        <v>267</v>
      </c>
      <c r="B73" t="s">
        <v>268</v>
      </c>
      <c r="C73" s="1" t="s">
        <v>818</v>
      </c>
      <c r="D73" t="s">
        <v>270</v>
      </c>
      <c r="E73">
        <v>2022</v>
      </c>
      <c r="F73" t="s">
        <v>197</v>
      </c>
      <c r="G73" t="s">
        <v>16</v>
      </c>
      <c r="H73" t="s">
        <v>674</v>
      </c>
      <c r="I73" s="5" t="str">
        <f>IF(musicmd[[#This Row],[Views (YouTube)]]&gt;50000000,"Hit",IF(musicmd[[#This Row],[Views (YouTube)]]&gt;10000000,"Average","Low"))</f>
        <v>Hit</v>
      </c>
      <c r="J73" s="5" t="str">
        <f>IF(musicmd[[#This Row],[Views (YouTube)]]&gt;50000000,"High",IF(musicmd[[#This Row],[Views (YouTube)]]&gt;10000000,"Medium","Low"))</f>
        <v>High</v>
      </c>
    </row>
    <row r="74" spans="1:10" x14ac:dyDescent="0.3">
      <c r="A74" t="s">
        <v>271</v>
      </c>
      <c r="B74" t="s">
        <v>272</v>
      </c>
      <c r="C74" s="1" t="s">
        <v>273</v>
      </c>
      <c r="D74" t="s">
        <v>274</v>
      </c>
      <c r="E74">
        <v>2023</v>
      </c>
      <c r="F74" t="s">
        <v>197</v>
      </c>
      <c r="G74" t="s">
        <v>66</v>
      </c>
      <c r="H74" t="s">
        <v>675</v>
      </c>
      <c r="I74" s="5" t="str">
        <f>IF(musicmd[[#This Row],[Views (YouTube)]]&gt;50000000,"Hit",IF(musicmd[[#This Row],[Views (YouTube)]]&gt;10000000,"Average","Low"))</f>
        <v>Hit</v>
      </c>
      <c r="J74" s="5" t="str">
        <f>IF(musicmd[[#This Row],[Views (YouTube)]]&gt;50000000,"High",IF(musicmd[[#This Row],[Views (YouTube)]]&gt;10000000,"Medium","Low"))</f>
        <v>High</v>
      </c>
    </row>
    <row r="75" spans="1:10" x14ac:dyDescent="0.3">
      <c r="A75" t="s">
        <v>275</v>
      </c>
      <c r="B75" t="s">
        <v>276</v>
      </c>
      <c r="C75" t="s">
        <v>819</v>
      </c>
      <c r="D75" t="s">
        <v>278</v>
      </c>
      <c r="E75">
        <v>2016</v>
      </c>
      <c r="F75" t="s">
        <v>197</v>
      </c>
      <c r="G75" t="s">
        <v>95</v>
      </c>
      <c r="H75" t="s">
        <v>676</v>
      </c>
      <c r="I75" s="5" t="str">
        <f>IF(musicmd[[#This Row],[Views (YouTube)]]&gt;50000000,"Hit",IF(musicmd[[#This Row],[Views (YouTube)]]&gt;10000000,"Average","Low"))</f>
        <v>Hit</v>
      </c>
      <c r="J75" s="5" t="str">
        <f>IF(musicmd[[#This Row],[Views (YouTube)]]&gt;50000000,"High",IF(musicmd[[#This Row],[Views (YouTube)]]&gt;10000000,"Medium","Low"))</f>
        <v>High</v>
      </c>
    </row>
    <row r="76" spans="1:10" x14ac:dyDescent="0.3">
      <c r="A76" t="s">
        <v>279</v>
      </c>
      <c r="B76" t="s">
        <v>280</v>
      </c>
      <c r="C76" t="s">
        <v>256</v>
      </c>
      <c r="D76" t="s">
        <v>278</v>
      </c>
      <c r="E76">
        <v>2016</v>
      </c>
      <c r="F76" t="s">
        <v>197</v>
      </c>
      <c r="G76" t="s">
        <v>16</v>
      </c>
      <c r="H76" t="s">
        <v>677</v>
      </c>
      <c r="I76" s="5" t="str">
        <f>IF(musicmd[[#This Row],[Views (YouTube)]]&gt;50000000,"Hit",IF(musicmd[[#This Row],[Views (YouTube)]]&gt;10000000,"Average","Low"))</f>
        <v>Hit</v>
      </c>
      <c r="J76" s="5" t="str">
        <f>IF(musicmd[[#This Row],[Views (YouTube)]]&gt;50000000,"High",IF(musicmd[[#This Row],[Views (YouTube)]]&gt;10000000,"Medium","Low"))</f>
        <v>High</v>
      </c>
    </row>
    <row r="77" spans="1:10" x14ac:dyDescent="0.3">
      <c r="A77" t="s">
        <v>282</v>
      </c>
      <c r="B77" t="s">
        <v>283</v>
      </c>
      <c r="C77" s="1" t="s">
        <v>820</v>
      </c>
      <c r="D77" t="s">
        <v>285</v>
      </c>
      <c r="E77">
        <v>2016</v>
      </c>
      <c r="F77" t="s">
        <v>197</v>
      </c>
      <c r="G77" t="s">
        <v>66</v>
      </c>
      <c r="H77" t="s">
        <v>678</v>
      </c>
      <c r="I77" s="5" t="str">
        <f>IF(musicmd[[#This Row],[Views (YouTube)]]&gt;50000000,"Hit",IF(musicmd[[#This Row],[Views (YouTube)]]&gt;10000000,"Average","Low"))</f>
        <v>Hit</v>
      </c>
      <c r="J77" s="5" t="str">
        <f>IF(musicmd[[#This Row],[Views (YouTube)]]&gt;50000000,"High",IF(musicmd[[#This Row],[Views (YouTube)]]&gt;10000000,"Medium","Low"))</f>
        <v>High</v>
      </c>
    </row>
    <row r="78" spans="1:10" x14ac:dyDescent="0.3">
      <c r="A78" t="s">
        <v>286</v>
      </c>
      <c r="B78" t="s">
        <v>287</v>
      </c>
      <c r="C78" s="1" t="s">
        <v>288</v>
      </c>
      <c r="D78" t="s">
        <v>289</v>
      </c>
      <c r="E78">
        <v>2019</v>
      </c>
      <c r="F78" t="s">
        <v>197</v>
      </c>
      <c r="G78" t="s">
        <v>95</v>
      </c>
      <c r="H78" t="s">
        <v>679</v>
      </c>
      <c r="I78" s="5" t="str">
        <f>IF(musicmd[[#This Row],[Views (YouTube)]]&gt;50000000,"Hit",IF(musicmd[[#This Row],[Views (YouTube)]]&gt;10000000,"Average","Low"))</f>
        <v>Hit</v>
      </c>
      <c r="J78" s="5" t="str">
        <f>IF(musicmd[[#This Row],[Views (YouTube)]]&gt;50000000,"High",IF(musicmd[[#This Row],[Views (YouTube)]]&gt;10000000,"Medium","Low"))</f>
        <v>High</v>
      </c>
    </row>
    <row r="79" spans="1:10" x14ac:dyDescent="0.3">
      <c r="A79" t="s">
        <v>290</v>
      </c>
      <c r="B79" t="s">
        <v>291</v>
      </c>
      <c r="C79" s="1" t="s">
        <v>292</v>
      </c>
      <c r="D79" t="s">
        <v>293</v>
      </c>
      <c r="E79">
        <v>2025</v>
      </c>
      <c r="F79" t="s">
        <v>197</v>
      </c>
      <c r="G79" t="s">
        <v>95</v>
      </c>
      <c r="H79" t="s">
        <v>680</v>
      </c>
      <c r="I79" s="5" t="str">
        <f>IF(musicmd[[#This Row],[Views (YouTube)]]&gt;50000000,"Hit",IF(musicmd[[#This Row],[Views (YouTube)]]&gt;10000000,"Average","Low"))</f>
        <v>Hit</v>
      </c>
      <c r="J79" s="5" t="str">
        <f>IF(musicmd[[#This Row],[Views (YouTube)]]&gt;50000000,"High",IF(musicmd[[#This Row],[Views (YouTube)]]&gt;10000000,"Medium","Low"))</f>
        <v>High</v>
      </c>
    </row>
    <row r="80" spans="1:10" x14ac:dyDescent="0.3">
      <c r="A80" t="s">
        <v>294</v>
      </c>
      <c r="B80" t="s">
        <v>295</v>
      </c>
      <c r="C80" s="1" t="s">
        <v>273</v>
      </c>
      <c r="D80" t="s">
        <v>293</v>
      </c>
      <c r="E80">
        <v>2025</v>
      </c>
      <c r="F80" t="s">
        <v>197</v>
      </c>
      <c r="G80" t="s">
        <v>122</v>
      </c>
      <c r="H80" t="s">
        <v>681</v>
      </c>
      <c r="I80" s="5" t="str">
        <f>IF(musicmd[[#This Row],[Views (YouTube)]]&gt;50000000,"Hit",IF(musicmd[[#This Row],[Views (YouTube)]]&gt;10000000,"Average","Low"))</f>
        <v>Hit</v>
      </c>
      <c r="J80" s="5" t="str">
        <f>IF(musicmd[[#This Row],[Views (YouTube)]]&gt;50000000,"High",IF(musicmd[[#This Row],[Views (YouTube)]]&gt;10000000,"Medium","Low"))</f>
        <v>High</v>
      </c>
    </row>
    <row r="81" spans="1:10" x14ac:dyDescent="0.3">
      <c r="A81" t="s">
        <v>296</v>
      </c>
      <c r="B81" t="s">
        <v>297</v>
      </c>
      <c r="C81" s="1" t="s">
        <v>821</v>
      </c>
      <c r="D81" t="s">
        <v>299</v>
      </c>
      <c r="E81">
        <v>2013</v>
      </c>
      <c r="F81" t="s">
        <v>197</v>
      </c>
      <c r="G81" t="s">
        <v>300</v>
      </c>
      <c r="H81" t="s">
        <v>682</v>
      </c>
      <c r="I81" s="5" t="str">
        <f>IF(musicmd[[#This Row],[Views (YouTube)]]&gt;50000000,"Hit",IF(musicmd[[#This Row],[Views (YouTube)]]&gt;10000000,"Average","Low"))</f>
        <v>Hit</v>
      </c>
      <c r="J81" s="5" t="str">
        <f>IF(musicmd[[#This Row],[Views (YouTube)]]&gt;50000000,"High",IF(musicmd[[#This Row],[Views (YouTube)]]&gt;10000000,"Medium","Low"))</f>
        <v>High</v>
      </c>
    </row>
    <row r="82" spans="1:10" x14ac:dyDescent="0.3">
      <c r="A82" t="s">
        <v>301</v>
      </c>
      <c r="B82" t="s">
        <v>302</v>
      </c>
      <c r="C82" s="1" t="s">
        <v>822</v>
      </c>
      <c r="D82" t="s">
        <v>299</v>
      </c>
      <c r="E82">
        <v>2013</v>
      </c>
      <c r="F82" t="s">
        <v>197</v>
      </c>
      <c r="G82" t="s">
        <v>16</v>
      </c>
      <c r="H82" t="s">
        <v>683</v>
      </c>
      <c r="I82" s="5" t="str">
        <f>IF(musicmd[[#This Row],[Views (YouTube)]]&gt;50000000,"Hit",IF(musicmd[[#This Row],[Views (YouTube)]]&gt;10000000,"Average","Low"))</f>
        <v>Hit</v>
      </c>
      <c r="J82" s="5" t="str">
        <f>IF(musicmd[[#This Row],[Views (YouTube)]]&gt;50000000,"High",IF(musicmd[[#This Row],[Views (YouTube)]]&gt;10000000,"Medium","Low"))</f>
        <v>High</v>
      </c>
    </row>
    <row r="83" spans="1:10" x14ac:dyDescent="0.3">
      <c r="A83" t="s">
        <v>304</v>
      </c>
      <c r="B83" t="s">
        <v>305</v>
      </c>
      <c r="C83" s="1" t="s">
        <v>823</v>
      </c>
      <c r="D83" t="s">
        <v>307</v>
      </c>
      <c r="E83">
        <v>2022</v>
      </c>
      <c r="F83" t="s">
        <v>197</v>
      </c>
      <c r="G83" t="s">
        <v>66</v>
      </c>
      <c r="H83" t="s">
        <v>684</v>
      </c>
      <c r="I83" s="5" t="str">
        <f>IF(musicmd[[#This Row],[Views (YouTube)]]&gt;50000000,"Hit",IF(musicmd[[#This Row],[Views (YouTube)]]&gt;10000000,"Average","Low"))</f>
        <v>Hit</v>
      </c>
      <c r="J83" s="5" t="str">
        <f>IF(musicmd[[#This Row],[Views (YouTube)]]&gt;50000000,"High",IF(musicmd[[#This Row],[Views (YouTube)]]&gt;10000000,"Medium","Low"))</f>
        <v>High</v>
      </c>
    </row>
    <row r="84" spans="1:10" x14ac:dyDescent="0.3">
      <c r="A84" t="s">
        <v>308</v>
      </c>
      <c r="B84" t="s">
        <v>309</v>
      </c>
      <c r="C84" s="1" t="s">
        <v>824</v>
      </c>
      <c r="D84" t="s">
        <v>307</v>
      </c>
      <c r="E84">
        <v>2022</v>
      </c>
      <c r="F84" t="s">
        <v>197</v>
      </c>
      <c r="G84" t="s">
        <v>311</v>
      </c>
      <c r="H84" t="s">
        <v>685</v>
      </c>
      <c r="I84" s="5" t="str">
        <f>IF(musicmd[[#This Row],[Views (YouTube)]]&gt;50000000,"Hit",IF(musicmd[[#This Row],[Views (YouTube)]]&gt;10000000,"Average","Low"))</f>
        <v>Hit</v>
      </c>
      <c r="J84" s="5" t="str">
        <f>IF(musicmd[[#This Row],[Views (YouTube)]]&gt;50000000,"High",IF(musicmd[[#This Row],[Views (YouTube)]]&gt;10000000,"Medium","Low"))</f>
        <v>High</v>
      </c>
    </row>
    <row r="85" spans="1:10" x14ac:dyDescent="0.3">
      <c r="A85" t="s">
        <v>312</v>
      </c>
      <c r="B85" t="s">
        <v>313</v>
      </c>
      <c r="C85" s="1" t="s">
        <v>823</v>
      </c>
      <c r="D85" t="s">
        <v>307</v>
      </c>
      <c r="E85">
        <v>2022</v>
      </c>
      <c r="F85" t="s">
        <v>197</v>
      </c>
      <c r="G85" t="s">
        <v>32</v>
      </c>
      <c r="H85" t="s">
        <v>686</v>
      </c>
      <c r="I85" s="5" t="str">
        <f>IF(musicmd[[#This Row],[Views (YouTube)]]&gt;50000000,"Hit",IF(musicmd[[#This Row],[Views (YouTube)]]&gt;10000000,"Average","Low"))</f>
        <v>Hit</v>
      </c>
      <c r="J85" s="5" t="str">
        <f>IF(musicmd[[#This Row],[Views (YouTube)]]&gt;50000000,"High",IF(musicmd[[#This Row],[Views (YouTube)]]&gt;10000000,"Medium","Low"))</f>
        <v>High</v>
      </c>
    </row>
    <row r="86" spans="1:10" x14ac:dyDescent="0.3">
      <c r="A86" t="s">
        <v>314</v>
      </c>
      <c r="B86" t="s">
        <v>315</v>
      </c>
      <c r="C86" s="1" t="s">
        <v>825</v>
      </c>
      <c r="D86" t="s">
        <v>317</v>
      </c>
      <c r="E86">
        <v>2020</v>
      </c>
      <c r="F86" t="s">
        <v>197</v>
      </c>
      <c r="G86" t="s">
        <v>300</v>
      </c>
      <c r="H86" t="s">
        <v>687</v>
      </c>
      <c r="I86" s="5" t="str">
        <f>IF(musicmd[[#This Row],[Views (YouTube)]]&gt;50000000,"Hit",IF(musicmd[[#This Row],[Views (YouTube)]]&gt;10000000,"Average","Low"))</f>
        <v>Hit</v>
      </c>
      <c r="J86" s="5" t="str">
        <f>IF(musicmd[[#This Row],[Views (YouTube)]]&gt;50000000,"High",IF(musicmd[[#This Row],[Views (YouTube)]]&gt;10000000,"Medium","Low"))</f>
        <v>High</v>
      </c>
    </row>
    <row r="87" spans="1:10" x14ac:dyDescent="0.3">
      <c r="A87" t="s">
        <v>318</v>
      </c>
      <c r="B87" t="s">
        <v>319</v>
      </c>
      <c r="C87" t="s">
        <v>256</v>
      </c>
      <c r="D87" t="s">
        <v>320</v>
      </c>
      <c r="E87">
        <v>2019</v>
      </c>
      <c r="F87" t="s">
        <v>197</v>
      </c>
      <c r="G87" t="s">
        <v>66</v>
      </c>
      <c r="H87" t="s">
        <v>688</v>
      </c>
      <c r="I87" s="5" t="str">
        <f>IF(musicmd[[#This Row],[Views (YouTube)]]&gt;50000000,"Hit",IF(musicmd[[#This Row],[Views (YouTube)]]&gt;10000000,"Average","Low"))</f>
        <v>Hit</v>
      </c>
      <c r="J87" s="5" t="str">
        <f>IF(musicmd[[#This Row],[Views (YouTube)]]&gt;50000000,"High",IF(musicmd[[#This Row],[Views (YouTube)]]&gt;10000000,"Medium","Low"))</f>
        <v>High</v>
      </c>
    </row>
    <row r="88" spans="1:10" ht="28.8" x14ac:dyDescent="0.3">
      <c r="A88" t="s">
        <v>321</v>
      </c>
      <c r="B88" t="s">
        <v>322</v>
      </c>
      <c r="C88" s="1" t="s">
        <v>323</v>
      </c>
      <c r="D88" t="s">
        <v>320</v>
      </c>
      <c r="E88">
        <v>2019</v>
      </c>
      <c r="F88" t="s">
        <v>197</v>
      </c>
      <c r="G88" t="s">
        <v>324</v>
      </c>
      <c r="H88" t="s">
        <v>689</v>
      </c>
      <c r="I88" s="5" t="str">
        <f>IF(musicmd[[#This Row],[Views (YouTube)]]&gt;50000000,"Hit",IF(musicmd[[#This Row],[Views (YouTube)]]&gt;10000000,"Average","Low"))</f>
        <v>Hit</v>
      </c>
      <c r="J88" s="5" t="str">
        <f>IF(musicmd[[#This Row],[Views (YouTube)]]&gt;50000000,"High",IF(musicmd[[#This Row],[Views (YouTube)]]&gt;10000000,"Medium","Low"))</f>
        <v>High</v>
      </c>
    </row>
    <row r="89" spans="1:10" ht="28.8" x14ac:dyDescent="0.3">
      <c r="A89" t="s">
        <v>325</v>
      </c>
      <c r="B89" t="s">
        <v>326</v>
      </c>
      <c r="C89" s="1" t="s">
        <v>826</v>
      </c>
      <c r="D89" t="s">
        <v>216</v>
      </c>
      <c r="E89">
        <v>2022</v>
      </c>
      <c r="F89" t="s">
        <v>197</v>
      </c>
      <c r="G89" t="s">
        <v>300</v>
      </c>
      <c r="H89" t="s">
        <v>690</v>
      </c>
      <c r="I89" s="5" t="str">
        <f>IF(musicmd[[#This Row],[Views (YouTube)]]&gt;50000000,"Hit",IF(musicmd[[#This Row],[Views (YouTube)]]&gt;10000000,"Average","Low"))</f>
        <v>Hit</v>
      </c>
      <c r="J89" s="5" t="str">
        <f>IF(musicmd[[#This Row],[Views (YouTube)]]&gt;50000000,"High",IF(musicmd[[#This Row],[Views (YouTube)]]&gt;10000000,"Medium","Low"))</f>
        <v>High</v>
      </c>
    </row>
    <row r="90" spans="1:10" x14ac:dyDescent="0.3">
      <c r="A90" t="s">
        <v>328</v>
      </c>
      <c r="B90" t="s">
        <v>329</v>
      </c>
      <c r="C90" t="s">
        <v>330</v>
      </c>
      <c r="D90" t="s">
        <v>331</v>
      </c>
      <c r="E90">
        <v>2019</v>
      </c>
      <c r="F90" t="s">
        <v>197</v>
      </c>
      <c r="G90" t="s">
        <v>332</v>
      </c>
      <c r="H90" t="s">
        <v>691</v>
      </c>
      <c r="I90" s="5" t="str">
        <f>IF(musicmd[[#This Row],[Views (YouTube)]]&gt;50000000,"Hit",IF(musicmd[[#This Row],[Views (YouTube)]]&gt;10000000,"Average","Low"))</f>
        <v>Hit</v>
      </c>
      <c r="J90" s="5" t="str">
        <f>IF(musicmd[[#This Row],[Views (YouTube)]]&gt;50000000,"High",IF(musicmd[[#This Row],[Views (YouTube)]]&gt;10000000,"Medium","Low"))</f>
        <v>High</v>
      </c>
    </row>
    <row r="91" spans="1:10" x14ac:dyDescent="0.3">
      <c r="A91" t="s">
        <v>333</v>
      </c>
      <c r="B91" t="s">
        <v>334</v>
      </c>
      <c r="C91" t="s">
        <v>256</v>
      </c>
      <c r="D91" t="s">
        <v>336</v>
      </c>
      <c r="E91">
        <v>2014</v>
      </c>
      <c r="F91" t="s">
        <v>197</v>
      </c>
      <c r="G91" t="s">
        <v>311</v>
      </c>
      <c r="H91" t="s">
        <v>692</v>
      </c>
      <c r="I91" s="5" t="str">
        <f>IF(musicmd[[#This Row],[Views (YouTube)]]&gt;50000000,"Hit",IF(musicmd[[#This Row],[Views (YouTube)]]&gt;10000000,"Average","Low"))</f>
        <v>Hit</v>
      </c>
      <c r="J91" s="5" t="str">
        <f>IF(musicmd[[#This Row],[Views (YouTube)]]&gt;50000000,"High",IF(musicmd[[#This Row],[Views (YouTube)]]&gt;10000000,"Medium","Low"))</f>
        <v>High</v>
      </c>
    </row>
    <row r="92" spans="1:10" x14ac:dyDescent="0.3">
      <c r="A92" t="s">
        <v>337</v>
      </c>
      <c r="B92" t="s">
        <v>338</v>
      </c>
      <c r="C92" t="s">
        <v>827</v>
      </c>
      <c r="D92" t="s">
        <v>340</v>
      </c>
      <c r="E92">
        <v>2004</v>
      </c>
      <c r="F92" t="s">
        <v>197</v>
      </c>
      <c r="G92" t="s">
        <v>341</v>
      </c>
      <c r="H92" t="s">
        <v>693</v>
      </c>
      <c r="I92" s="5" t="str">
        <f>IF(musicmd[[#This Row],[Views (YouTube)]]&gt;50000000,"Hit",IF(musicmd[[#This Row],[Views (YouTube)]]&gt;10000000,"Average","Low"))</f>
        <v>Hit</v>
      </c>
      <c r="J92" s="5" t="str">
        <f>IF(musicmd[[#This Row],[Views (YouTube)]]&gt;50000000,"High",IF(musicmd[[#This Row],[Views (YouTube)]]&gt;10000000,"Medium","Low"))</f>
        <v>High</v>
      </c>
    </row>
    <row r="93" spans="1:10" x14ac:dyDescent="0.3">
      <c r="A93" t="s">
        <v>342</v>
      </c>
      <c r="B93" t="s">
        <v>343</v>
      </c>
      <c r="C93" s="1" t="s">
        <v>828</v>
      </c>
      <c r="D93" t="s">
        <v>345</v>
      </c>
      <c r="E93">
        <v>2006</v>
      </c>
      <c r="F93" t="s">
        <v>197</v>
      </c>
      <c r="G93" t="s">
        <v>341</v>
      </c>
      <c r="H93" t="s">
        <v>694</v>
      </c>
      <c r="I93" s="5" t="str">
        <f>IF(musicmd[[#This Row],[Views (YouTube)]]&gt;50000000,"Hit",IF(musicmd[[#This Row],[Views (YouTube)]]&gt;10000000,"Average","Low"))</f>
        <v>Hit</v>
      </c>
      <c r="J93" s="5" t="str">
        <f>IF(musicmd[[#This Row],[Views (YouTube)]]&gt;50000000,"High",IF(musicmd[[#This Row],[Views (YouTube)]]&gt;10000000,"Medium","Low"))</f>
        <v>High</v>
      </c>
    </row>
    <row r="94" spans="1:10" x14ac:dyDescent="0.3">
      <c r="A94" t="s">
        <v>346</v>
      </c>
      <c r="B94" t="s">
        <v>347</v>
      </c>
      <c r="C94" t="s">
        <v>827</v>
      </c>
      <c r="D94" t="s">
        <v>345</v>
      </c>
      <c r="E94">
        <v>2006</v>
      </c>
      <c r="F94" t="s">
        <v>197</v>
      </c>
      <c r="G94" t="s">
        <v>348</v>
      </c>
      <c r="H94" t="s">
        <v>695</v>
      </c>
      <c r="I94" s="5" t="str">
        <f>IF(musicmd[[#This Row],[Views (YouTube)]]&gt;50000000,"Hit",IF(musicmd[[#This Row],[Views (YouTube)]]&gt;10000000,"Average","Low"))</f>
        <v>Hit</v>
      </c>
      <c r="J94" s="5" t="str">
        <f>IF(musicmd[[#This Row],[Views (YouTube)]]&gt;50000000,"High",IF(musicmd[[#This Row],[Views (YouTube)]]&gt;10000000,"Medium","Low"))</f>
        <v>High</v>
      </c>
    </row>
    <row r="95" spans="1:10" ht="28.8" x14ac:dyDescent="0.3">
      <c r="A95" t="s">
        <v>349</v>
      </c>
      <c r="B95" t="s">
        <v>350</v>
      </c>
      <c r="C95" s="1" t="s">
        <v>829</v>
      </c>
      <c r="D95" t="s">
        <v>352</v>
      </c>
      <c r="E95">
        <v>2025</v>
      </c>
      <c r="F95" t="s">
        <v>197</v>
      </c>
      <c r="G95" t="s">
        <v>353</v>
      </c>
      <c r="H95" t="s">
        <v>696</v>
      </c>
      <c r="I95" s="5" t="str">
        <f>IF(musicmd[[#This Row],[Views (YouTube)]]&gt;50000000,"Hit",IF(musicmd[[#This Row],[Views (YouTube)]]&gt;10000000,"Average","Low"))</f>
        <v>Hit</v>
      </c>
      <c r="J95" s="5" t="str">
        <f>IF(musicmd[[#This Row],[Views (YouTube)]]&gt;50000000,"High",IF(musicmd[[#This Row],[Views (YouTube)]]&gt;10000000,"Medium","Low"))</f>
        <v>High</v>
      </c>
    </row>
    <row r="96" spans="1:10" x14ac:dyDescent="0.3">
      <c r="A96" t="s">
        <v>354</v>
      </c>
      <c r="B96" t="s">
        <v>355</v>
      </c>
      <c r="C96" s="1" t="s">
        <v>830</v>
      </c>
      <c r="D96" t="s">
        <v>352</v>
      </c>
      <c r="E96">
        <v>2025</v>
      </c>
      <c r="F96" t="s">
        <v>197</v>
      </c>
      <c r="G96" t="s">
        <v>348</v>
      </c>
      <c r="H96" t="s">
        <v>693</v>
      </c>
      <c r="I96" s="5" t="str">
        <f>IF(musicmd[[#This Row],[Views (YouTube)]]&gt;50000000,"Hit",IF(musicmd[[#This Row],[Views (YouTube)]]&gt;10000000,"Average","Low"))</f>
        <v>Hit</v>
      </c>
      <c r="J96" s="5" t="str">
        <f>IF(musicmd[[#This Row],[Views (YouTube)]]&gt;50000000,"High",IF(musicmd[[#This Row],[Views (YouTube)]]&gt;10000000,"Medium","Low"))</f>
        <v>High</v>
      </c>
    </row>
    <row r="97" spans="1:10" x14ac:dyDescent="0.3">
      <c r="A97" t="s">
        <v>357</v>
      </c>
      <c r="B97" t="s">
        <v>358</v>
      </c>
      <c r="C97" s="1" t="s">
        <v>831</v>
      </c>
      <c r="D97" t="s">
        <v>352</v>
      </c>
      <c r="E97">
        <v>2025</v>
      </c>
      <c r="F97" t="s">
        <v>197</v>
      </c>
      <c r="G97" t="s">
        <v>66</v>
      </c>
      <c r="H97" t="s">
        <v>697</v>
      </c>
      <c r="I97" s="5" t="str">
        <f>IF(musicmd[[#This Row],[Views (YouTube)]]&gt;50000000,"Hit",IF(musicmd[[#This Row],[Views (YouTube)]]&gt;10000000,"Average","Low"))</f>
        <v>Hit</v>
      </c>
      <c r="J97" s="5" t="str">
        <f>IF(musicmd[[#This Row],[Views (YouTube)]]&gt;50000000,"High",IF(musicmd[[#This Row],[Views (YouTube)]]&gt;10000000,"Medium","Low"))</f>
        <v>High</v>
      </c>
    </row>
    <row r="98" spans="1:10" x14ac:dyDescent="0.3">
      <c r="A98" t="s">
        <v>360</v>
      </c>
      <c r="B98" t="s">
        <v>361</v>
      </c>
      <c r="C98" s="1" t="s">
        <v>813</v>
      </c>
      <c r="D98" t="s">
        <v>361</v>
      </c>
      <c r="E98">
        <v>2021</v>
      </c>
      <c r="F98" t="s">
        <v>197</v>
      </c>
      <c r="G98" t="s">
        <v>100</v>
      </c>
      <c r="H98" t="s">
        <v>698</v>
      </c>
      <c r="I98" s="5" t="str">
        <f>IF(musicmd[[#This Row],[Views (YouTube)]]&gt;50000000,"Hit",IF(musicmd[[#This Row],[Views (YouTube)]]&gt;10000000,"Average","Low"))</f>
        <v>Hit</v>
      </c>
      <c r="J98" s="5" t="str">
        <f>IF(musicmd[[#This Row],[Views (YouTube)]]&gt;50000000,"High",IF(musicmd[[#This Row],[Views (YouTube)]]&gt;10000000,"Medium","Low"))</f>
        <v>High</v>
      </c>
    </row>
    <row r="99" spans="1:10" x14ac:dyDescent="0.3">
      <c r="A99" t="s">
        <v>363</v>
      </c>
      <c r="B99" t="s">
        <v>364</v>
      </c>
      <c r="C99" s="1" t="s">
        <v>832</v>
      </c>
      <c r="D99" t="s">
        <v>366</v>
      </c>
      <c r="E99">
        <v>2025</v>
      </c>
      <c r="F99" t="s">
        <v>197</v>
      </c>
      <c r="G99" t="s">
        <v>300</v>
      </c>
      <c r="H99" t="s">
        <v>699</v>
      </c>
      <c r="I99" s="5" t="str">
        <f>IF(musicmd[[#This Row],[Views (YouTube)]]&gt;50000000,"Hit",IF(musicmd[[#This Row],[Views (YouTube)]]&gt;10000000,"Average","Low"))</f>
        <v>Hit</v>
      </c>
      <c r="J99" s="5" t="str">
        <f>IF(musicmd[[#This Row],[Views (YouTube)]]&gt;50000000,"High",IF(musicmd[[#This Row],[Views (YouTube)]]&gt;10000000,"Medium","Low"))</f>
        <v>High</v>
      </c>
    </row>
    <row r="100" spans="1:10" x14ac:dyDescent="0.3">
      <c r="A100" t="s">
        <v>367</v>
      </c>
      <c r="B100" t="s">
        <v>368</v>
      </c>
      <c r="C100" t="s">
        <v>369</v>
      </c>
      <c r="D100" t="s">
        <v>370</v>
      </c>
      <c r="E100">
        <v>2018</v>
      </c>
      <c r="F100" t="s">
        <v>197</v>
      </c>
      <c r="G100" t="s">
        <v>348</v>
      </c>
      <c r="H100" t="s">
        <v>700</v>
      </c>
      <c r="I100" s="5" t="str">
        <f>IF(musicmd[[#This Row],[Views (YouTube)]]&gt;50000000,"Hit",IF(musicmd[[#This Row],[Views (YouTube)]]&gt;10000000,"Average","Low"))</f>
        <v>Hit</v>
      </c>
      <c r="J100" s="5" t="str">
        <f>IF(musicmd[[#This Row],[Views (YouTube)]]&gt;50000000,"High",IF(musicmd[[#This Row],[Views (YouTube)]]&gt;10000000,"Medium","Low"))</f>
        <v>High</v>
      </c>
    </row>
    <row r="101" spans="1:10" x14ac:dyDescent="0.3">
      <c r="A101" t="s">
        <v>371</v>
      </c>
      <c r="B101" t="s">
        <v>372</v>
      </c>
      <c r="C101" t="s">
        <v>373</v>
      </c>
      <c r="D101" t="s">
        <v>370</v>
      </c>
      <c r="E101">
        <v>2018</v>
      </c>
      <c r="F101" t="s">
        <v>197</v>
      </c>
      <c r="G101" t="s">
        <v>66</v>
      </c>
      <c r="H101" t="s">
        <v>701</v>
      </c>
      <c r="I101" s="5" t="str">
        <f>IF(musicmd[[#This Row],[Views (YouTube)]]&gt;50000000,"Hit",IF(musicmd[[#This Row],[Views (YouTube)]]&gt;10000000,"Average","Low"))</f>
        <v>Hit</v>
      </c>
      <c r="J101" s="5" t="str">
        <f>IF(musicmd[[#This Row],[Views (YouTube)]]&gt;50000000,"High",IF(musicmd[[#This Row],[Views (YouTube)]]&gt;10000000,"Medium","Low"))</f>
        <v>High</v>
      </c>
    </row>
    <row r="102" spans="1:10" x14ac:dyDescent="0.3">
      <c r="A102" t="s">
        <v>374</v>
      </c>
      <c r="B102" t="s">
        <v>375</v>
      </c>
      <c r="C102" t="s">
        <v>376</v>
      </c>
      <c r="D102" t="s">
        <v>377</v>
      </c>
      <c r="E102">
        <v>2016</v>
      </c>
      <c r="F102" t="s">
        <v>197</v>
      </c>
      <c r="G102" t="s">
        <v>66</v>
      </c>
      <c r="H102" t="s">
        <v>702</v>
      </c>
      <c r="I102" s="5" t="str">
        <f>IF(musicmd[[#This Row],[Views (YouTube)]]&gt;50000000,"Hit",IF(musicmd[[#This Row],[Views (YouTube)]]&gt;10000000,"Average","Low"))</f>
        <v>Hit</v>
      </c>
      <c r="J102" s="5" t="str">
        <f>IF(musicmd[[#This Row],[Views (YouTube)]]&gt;50000000,"High",IF(musicmd[[#This Row],[Views (YouTube)]]&gt;10000000,"Medium","Low"))</f>
        <v>High</v>
      </c>
    </row>
    <row r="103" spans="1:10" ht="28.8" x14ac:dyDescent="0.3">
      <c r="A103" t="s">
        <v>378</v>
      </c>
      <c r="B103" t="s">
        <v>379</v>
      </c>
      <c r="C103" s="1" t="s">
        <v>833</v>
      </c>
      <c r="D103" t="s">
        <v>381</v>
      </c>
      <c r="E103">
        <v>2025</v>
      </c>
      <c r="F103" t="s">
        <v>382</v>
      </c>
      <c r="G103" t="s">
        <v>383</v>
      </c>
      <c r="H103" t="s">
        <v>703</v>
      </c>
      <c r="I103" s="5" t="str">
        <f>IF(musicmd[[#This Row],[Views (YouTube)]]&gt;50000000,"Hit",IF(musicmd[[#This Row],[Views (YouTube)]]&gt;10000000,"Average","Low"))</f>
        <v>Hit</v>
      </c>
      <c r="J103" s="5" t="str">
        <f>IF(musicmd[[#This Row],[Views (YouTube)]]&gt;50000000,"High",IF(musicmd[[#This Row],[Views (YouTube)]]&gt;10000000,"Medium","Low"))</f>
        <v>High</v>
      </c>
    </row>
    <row r="104" spans="1:10" ht="28.8" x14ac:dyDescent="0.3">
      <c r="A104" t="s">
        <v>384</v>
      </c>
      <c r="B104" t="s">
        <v>385</v>
      </c>
      <c r="C104" s="1" t="s">
        <v>834</v>
      </c>
      <c r="D104" t="s">
        <v>387</v>
      </c>
      <c r="E104">
        <v>2023</v>
      </c>
      <c r="F104" t="s">
        <v>382</v>
      </c>
      <c r="G104" t="s">
        <v>388</v>
      </c>
      <c r="H104" t="s">
        <v>704</v>
      </c>
      <c r="I104" s="5" t="str">
        <f>IF(musicmd[[#This Row],[Views (YouTube)]]&gt;50000000,"Hit",IF(musicmd[[#This Row],[Views (YouTube)]]&gt;10000000,"Average","Low"))</f>
        <v>Hit</v>
      </c>
      <c r="J104" s="5" t="str">
        <f>IF(musicmd[[#This Row],[Views (YouTube)]]&gt;50000000,"High",IF(musicmd[[#This Row],[Views (YouTube)]]&gt;10000000,"Medium","Low"))</f>
        <v>High</v>
      </c>
    </row>
    <row r="105" spans="1:10" x14ac:dyDescent="0.3">
      <c r="A105" t="s">
        <v>389</v>
      </c>
      <c r="B105" t="s">
        <v>390</v>
      </c>
      <c r="C105" s="1" t="s">
        <v>835</v>
      </c>
      <c r="D105" t="s">
        <v>387</v>
      </c>
      <c r="E105">
        <v>2023</v>
      </c>
      <c r="F105" t="s">
        <v>382</v>
      </c>
      <c r="G105" t="s">
        <v>154</v>
      </c>
      <c r="H105" t="s">
        <v>705</v>
      </c>
      <c r="I105" s="5" t="str">
        <f>IF(musicmd[[#This Row],[Views (YouTube)]]&gt;50000000,"Hit",IF(musicmd[[#This Row],[Views (YouTube)]]&gt;10000000,"Average","Low"))</f>
        <v>Hit</v>
      </c>
      <c r="J105" s="5" t="str">
        <f>IF(musicmd[[#This Row],[Views (YouTube)]]&gt;50000000,"High",IF(musicmd[[#This Row],[Views (YouTube)]]&gt;10000000,"Medium","Low"))</f>
        <v>High</v>
      </c>
    </row>
    <row r="106" spans="1:10" x14ac:dyDescent="0.3">
      <c r="A106" t="s">
        <v>392</v>
      </c>
      <c r="B106" t="s">
        <v>393</v>
      </c>
      <c r="C106" s="1" t="s">
        <v>836</v>
      </c>
      <c r="D106" t="s">
        <v>395</v>
      </c>
      <c r="E106">
        <v>2018</v>
      </c>
      <c r="F106" t="s">
        <v>382</v>
      </c>
      <c r="G106" t="s">
        <v>70</v>
      </c>
      <c r="H106" t="s">
        <v>706</v>
      </c>
      <c r="I106" s="5" t="str">
        <f>IF(musicmd[[#This Row],[Views (YouTube)]]&gt;50000000,"Hit",IF(musicmd[[#This Row],[Views (YouTube)]]&gt;10000000,"Average","Low"))</f>
        <v>Hit</v>
      </c>
      <c r="J106" s="5" t="str">
        <f>IF(musicmd[[#This Row],[Views (YouTube)]]&gt;50000000,"High",IF(musicmd[[#This Row],[Views (YouTube)]]&gt;10000000,"Medium","Low"))</f>
        <v>High</v>
      </c>
    </row>
    <row r="107" spans="1:10" x14ac:dyDescent="0.3">
      <c r="A107" t="s">
        <v>396</v>
      </c>
      <c r="B107" t="s">
        <v>397</v>
      </c>
      <c r="C107" s="1" t="s">
        <v>227</v>
      </c>
      <c r="D107" t="s">
        <v>399</v>
      </c>
      <c r="E107">
        <v>2016</v>
      </c>
      <c r="F107" t="s">
        <v>382</v>
      </c>
      <c r="G107" t="s">
        <v>122</v>
      </c>
      <c r="H107" t="s">
        <v>707</v>
      </c>
      <c r="I107" s="5" t="str">
        <f>IF(musicmd[[#This Row],[Views (YouTube)]]&gt;50000000,"Hit",IF(musicmd[[#This Row],[Views (YouTube)]]&gt;10000000,"Average","Low"))</f>
        <v>Hit</v>
      </c>
      <c r="J107" s="5" t="str">
        <f>IF(musicmd[[#This Row],[Views (YouTube)]]&gt;50000000,"High",IF(musicmd[[#This Row],[Views (YouTube)]]&gt;10000000,"Medium","Low"))</f>
        <v>High</v>
      </c>
    </row>
    <row r="108" spans="1:10" x14ac:dyDescent="0.3">
      <c r="A108" t="s">
        <v>400</v>
      </c>
      <c r="B108" t="s">
        <v>401</v>
      </c>
      <c r="C108" t="s">
        <v>837</v>
      </c>
      <c r="D108" t="s">
        <v>399</v>
      </c>
      <c r="E108">
        <v>2016</v>
      </c>
      <c r="F108" t="s">
        <v>382</v>
      </c>
      <c r="G108" t="s">
        <v>403</v>
      </c>
      <c r="H108" t="s">
        <v>708</v>
      </c>
      <c r="I108" s="5" t="str">
        <f>IF(musicmd[[#This Row],[Views (YouTube)]]&gt;50000000,"Hit",IF(musicmd[[#This Row],[Views (YouTube)]]&gt;10000000,"Average","Low"))</f>
        <v>Hit</v>
      </c>
      <c r="J108" s="5" t="str">
        <f>IF(musicmd[[#This Row],[Views (YouTube)]]&gt;50000000,"High",IF(musicmd[[#This Row],[Views (YouTube)]]&gt;10000000,"Medium","Low"))</f>
        <v>High</v>
      </c>
    </row>
    <row r="109" spans="1:10" x14ac:dyDescent="0.3">
      <c r="A109" t="s">
        <v>404</v>
      </c>
      <c r="B109" t="s">
        <v>405</v>
      </c>
      <c r="C109" s="1" t="s">
        <v>838</v>
      </c>
      <c r="D109" t="s">
        <v>399</v>
      </c>
      <c r="E109">
        <v>2016</v>
      </c>
      <c r="F109" t="s">
        <v>382</v>
      </c>
      <c r="G109" t="s">
        <v>66</v>
      </c>
      <c r="H109" t="s">
        <v>709</v>
      </c>
      <c r="I109" s="5" t="str">
        <f>IF(musicmd[[#This Row],[Views (YouTube)]]&gt;50000000,"Hit",IF(musicmd[[#This Row],[Views (YouTube)]]&gt;10000000,"Average","Low"))</f>
        <v>Hit</v>
      </c>
      <c r="J109" s="5" t="str">
        <f>IF(musicmd[[#This Row],[Views (YouTube)]]&gt;50000000,"High",IF(musicmd[[#This Row],[Views (YouTube)]]&gt;10000000,"Medium","Low"))</f>
        <v>High</v>
      </c>
    </row>
    <row r="110" spans="1:10" x14ac:dyDescent="0.3">
      <c r="A110" t="s">
        <v>407</v>
      </c>
      <c r="B110" t="s">
        <v>408</v>
      </c>
      <c r="C110" s="1" t="s">
        <v>839</v>
      </c>
      <c r="D110" t="s">
        <v>399</v>
      </c>
      <c r="E110">
        <v>2016</v>
      </c>
      <c r="F110" t="s">
        <v>382</v>
      </c>
      <c r="G110" t="s">
        <v>66</v>
      </c>
      <c r="H110" t="s">
        <v>661</v>
      </c>
      <c r="I110" s="5" t="str">
        <f>IF(musicmd[[#This Row],[Views (YouTube)]]&gt;50000000,"Hit",IF(musicmd[[#This Row],[Views (YouTube)]]&gt;10000000,"Average","Low"))</f>
        <v>Hit</v>
      </c>
      <c r="J110" s="5" t="str">
        <f>IF(musicmd[[#This Row],[Views (YouTube)]]&gt;50000000,"High",IF(musicmd[[#This Row],[Views (YouTube)]]&gt;10000000,"Medium","Low"))</f>
        <v>High</v>
      </c>
    </row>
    <row r="111" spans="1:10" x14ac:dyDescent="0.3">
      <c r="A111" t="s">
        <v>410</v>
      </c>
      <c r="B111" t="s">
        <v>411</v>
      </c>
      <c r="C111" t="s">
        <v>412</v>
      </c>
      <c r="D111">
        <v>3</v>
      </c>
      <c r="E111">
        <v>2012</v>
      </c>
      <c r="F111" t="s">
        <v>382</v>
      </c>
      <c r="G111" t="s">
        <v>16</v>
      </c>
      <c r="H111" t="s">
        <v>710</v>
      </c>
      <c r="I111" s="5" t="str">
        <f>IF(musicmd[[#This Row],[Views (YouTube)]]&gt;50000000,"Hit",IF(musicmd[[#This Row],[Views (YouTube)]]&gt;10000000,"Average","Low"))</f>
        <v>Hit</v>
      </c>
      <c r="J111" s="5" t="str">
        <f>IF(musicmd[[#This Row],[Views (YouTube)]]&gt;50000000,"High",IF(musicmd[[#This Row],[Views (YouTube)]]&gt;10000000,"Medium","Low"))</f>
        <v>High</v>
      </c>
    </row>
    <row r="112" spans="1:10" x14ac:dyDescent="0.3">
      <c r="A112" t="s">
        <v>413</v>
      </c>
      <c r="B112" t="s">
        <v>414</v>
      </c>
      <c r="C112" s="1" t="s">
        <v>840</v>
      </c>
      <c r="D112" t="s">
        <v>416</v>
      </c>
      <c r="E112">
        <v>2011</v>
      </c>
      <c r="F112" t="s">
        <v>382</v>
      </c>
      <c r="G112" t="s">
        <v>70</v>
      </c>
      <c r="H112" t="s">
        <v>671</v>
      </c>
      <c r="I112" s="5" t="str">
        <f>IF(musicmd[[#This Row],[Views (YouTube)]]&gt;50000000,"Hit",IF(musicmd[[#This Row],[Views (YouTube)]]&gt;10000000,"Average","Low"))</f>
        <v>Hit</v>
      </c>
      <c r="J112" s="5" t="str">
        <f>IF(musicmd[[#This Row],[Views (YouTube)]]&gt;50000000,"High",IF(musicmd[[#This Row],[Views (YouTube)]]&gt;10000000,"Medium","Low"))</f>
        <v>High</v>
      </c>
    </row>
    <row r="113" spans="1:10" x14ac:dyDescent="0.3">
      <c r="A113" t="s">
        <v>417</v>
      </c>
      <c r="B113" t="s">
        <v>418</v>
      </c>
      <c r="C113" s="1" t="s">
        <v>64</v>
      </c>
      <c r="D113" t="s">
        <v>416</v>
      </c>
      <c r="E113">
        <v>2011</v>
      </c>
      <c r="F113" t="s">
        <v>382</v>
      </c>
      <c r="G113" t="s">
        <v>66</v>
      </c>
      <c r="H113" t="s">
        <v>711</v>
      </c>
      <c r="I113" s="5" t="str">
        <f>IF(musicmd[[#This Row],[Views (YouTube)]]&gt;50000000,"Hit",IF(musicmd[[#This Row],[Views (YouTube)]]&gt;10000000,"Average","Low"))</f>
        <v>Hit</v>
      </c>
      <c r="J113" s="5" t="str">
        <f>IF(musicmd[[#This Row],[Views (YouTube)]]&gt;50000000,"High",IF(musicmd[[#This Row],[Views (YouTube)]]&gt;10000000,"Medium","Low"))</f>
        <v>High</v>
      </c>
    </row>
    <row r="114" spans="1:10" ht="28.8" x14ac:dyDescent="0.3">
      <c r="A114" t="s">
        <v>420</v>
      </c>
      <c r="B114" t="s">
        <v>68</v>
      </c>
      <c r="C114" s="1" t="s">
        <v>841</v>
      </c>
      <c r="D114" t="s">
        <v>416</v>
      </c>
      <c r="E114">
        <v>2011</v>
      </c>
      <c r="F114" t="s">
        <v>382</v>
      </c>
      <c r="G114" t="s">
        <v>70</v>
      </c>
      <c r="H114" t="s">
        <v>712</v>
      </c>
      <c r="I114" s="5" t="str">
        <f>IF(musicmd[[#This Row],[Views (YouTube)]]&gt;50000000,"Hit",IF(musicmd[[#This Row],[Views (YouTube)]]&gt;10000000,"Average","Low"))</f>
        <v>Hit</v>
      </c>
      <c r="J114" s="5" t="str">
        <f>IF(musicmd[[#This Row],[Views (YouTube)]]&gt;50000000,"High",IF(musicmd[[#This Row],[Views (YouTube)]]&gt;10000000,"Medium","Low"))</f>
        <v>High</v>
      </c>
    </row>
    <row r="115" spans="1:10" x14ac:dyDescent="0.3">
      <c r="A115" t="s">
        <v>422</v>
      </c>
      <c r="B115" t="s">
        <v>423</v>
      </c>
      <c r="C115" s="1" t="s">
        <v>842</v>
      </c>
      <c r="D115" t="s">
        <v>425</v>
      </c>
      <c r="E115">
        <v>2009</v>
      </c>
      <c r="F115" t="s">
        <v>382</v>
      </c>
      <c r="G115" t="s">
        <v>122</v>
      </c>
      <c r="H115" t="s">
        <v>713</v>
      </c>
      <c r="I115" s="5" t="str">
        <f>IF(musicmd[[#This Row],[Views (YouTube)]]&gt;50000000,"Hit",IF(musicmd[[#This Row],[Views (YouTube)]]&gt;10000000,"Average","Low"))</f>
        <v>Hit</v>
      </c>
      <c r="J115" s="5" t="str">
        <f>IF(musicmd[[#This Row],[Views (YouTube)]]&gt;50000000,"High",IF(musicmd[[#This Row],[Views (YouTube)]]&gt;10000000,"Medium","Low"))</f>
        <v>High</v>
      </c>
    </row>
    <row r="116" spans="1:10" x14ac:dyDescent="0.3">
      <c r="A116" t="s">
        <v>426</v>
      </c>
      <c r="B116" t="s">
        <v>427</v>
      </c>
      <c r="C116" s="1" t="s">
        <v>837</v>
      </c>
      <c r="D116" t="s">
        <v>425</v>
      </c>
      <c r="E116">
        <v>2009</v>
      </c>
      <c r="F116" t="s">
        <v>382</v>
      </c>
      <c r="G116" t="s">
        <v>429</v>
      </c>
      <c r="H116" t="s">
        <v>714</v>
      </c>
      <c r="I116" s="5" t="str">
        <f>IF(musicmd[[#This Row],[Views (YouTube)]]&gt;50000000,"Hit",IF(musicmd[[#This Row],[Views (YouTube)]]&gt;10000000,"Average","Low"))</f>
        <v>Hit</v>
      </c>
      <c r="J116" s="5" t="str">
        <f>IF(musicmd[[#This Row],[Views (YouTube)]]&gt;50000000,"High",IF(musicmd[[#This Row],[Views (YouTube)]]&gt;10000000,"Medium","Low"))</f>
        <v>High</v>
      </c>
    </row>
    <row r="117" spans="1:10" x14ac:dyDescent="0.3">
      <c r="A117" t="s">
        <v>430</v>
      </c>
      <c r="B117" t="s">
        <v>431</v>
      </c>
      <c r="C117" s="1" t="s">
        <v>843</v>
      </c>
      <c r="D117" t="s">
        <v>425</v>
      </c>
      <c r="E117">
        <v>2009</v>
      </c>
      <c r="F117" t="s">
        <v>382</v>
      </c>
      <c r="G117" t="s">
        <v>16</v>
      </c>
      <c r="H117" t="s">
        <v>715</v>
      </c>
      <c r="I117" s="5" t="str">
        <f>IF(musicmd[[#This Row],[Views (YouTube)]]&gt;50000000,"Hit",IF(musicmd[[#This Row],[Views (YouTube)]]&gt;10000000,"Average","Low"))</f>
        <v>Hit</v>
      </c>
      <c r="J117" s="5" t="str">
        <f>IF(musicmd[[#This Row],[Views (YouTube)]]&gt;50000000,"High",IF(musicmd[[#This Row],[Views (YouTube)]]&gt;10000000,"Medium","Low"))</f>
        <v>High</v>
      </c>
    </row>
    <row r="118" spans="1:10" ht="28.8" x14ac:dyDescent="0.3">
      <c r="A118" t="s">
        <v>433</v>
      </c>
      <c r="B118" t="s">
        <v>434</v>
      </c>
      <c r="C118" s="1" t="s">
        <v>844</v>
      </c>
      <c r="D118" t="s">
        <v>425</v>
      </c>
      <c r="E118">
        <v>2009</v>
      </c>
      <c r="F118" t="s">
        <v>382</v>
      </c>
      <c r="G118" t="s">
        <v>66</v>
      </c>
      <c r="H118" t="s">
        <v>661</v>
      </c>
      <c r="I118" s="5" t="str">
        <f>IF(musicmd[[#This Row],[Views (YouTube)]]&gt;50000000,"Hit",IF(musicmd[[#This Row],[Views (YouTube)]]&gt;10000000,"Average","Low"))</f>
        <v>Hit</v>
      </c>
      <c r="J118" s="5" t="str">
        <f>IF(musicmd[[#This Row],[Views (YouTube)]]&gt;50000000,"High",IF(musicmd[[#This Row],[Views (YouTube)]]&gt;10000000,"Medium","Low"))</f>
        <v>High</v>
      </c>
    </row>
    <row r="119" spans="1:10" ht="28.8" x14ac:dyDescent="0.3">
      <c r="A119" t="s">
        <v>436</v>
      </c>
      <c r="B119" t="s">
        <v>437</v>
      </c>
      <c r="C119" s="1" t="s">
        <v>845</v>
      </c>
      <c r="D119" t="s">
        <v>439</v>
      </c>
      <c r="E119">
        <v>2015</v>
      </c>
      <c r="F119" t="s">
        <v>382</v>
      </c>
      <c r="G119" t="s">
        <v>122</v>
      </c>
      <c r="H119" t="s">
        <v>716</v>
      </c>
      <c r="I119" s="5" t="str">
        <f>IF(musicmd[[#This Row],[Views (YouTube)]]&gt;50000000,"Hit",IF(musicmd[[#This Row],[Views (YouTube)]]&gt;10000000,"Average","Low"))</f>
        <v>Hit</v>
      </c>
      <c r="J119" s="5" t="str">
        <f>IF(musicmd[[#This Row],[Views (YouTube)]]&gt;50000000,"High",IF(musicmd[[#This Row],[Views (YouTube)]]&gt;10000000,"Medium","Low"))</f>
        <v>High</v>
      </c>
    </row>
    <row r="120" spans="1:10" ht="28.8" x14ac:dyDescent="0.3">
      <c r="A120" t="s">
        <v>440</v>
      </c>
      <c r="B120" t="s">
        <v>441</v>
      </c>
      <c r="C120" s="1" t="s">
        <v>846</v>
      </c>
      <c r="D120" t="s">
        <v>439</v>
      </c>
      <c r="E120">
        <v>2015</v>
      </c>
      <c r="F120" t="s">
        <v>382</v>
      </c>
      <c r="G120" t="s">
        <v>47</v>
      </c>
      <c r="H120" t="s">
        <v>717</v>
      </c>
      <c r="I120" s="5" t="str">
        <f>IF(musicmd[[#This Row],[Views (YouTube)]]&gt;50000000,"Hit",IF(musicmd[[#This Row],[Views (YouTube)]]&gt;10000000,"Average","Low"))</f>
        <v>Hit</v>
      </c>
      <c r="J120" s="5" t="str">
        <f>IF(musicmd[[#This Row],[Views (YouTube)]]&gt;50000000,"High",IF(musicmd[[#This Row],[Views (YouTube)]]&gt;10000000,"Medium","Low"))</f>
        <v>High</v>
      </c>
    </row>
    <row r="121" spans="1:10" x14ac:dyDescent="0.3">
      <c r="A121" t="s">
        <v>443</v>
      </c>
      <c r="B121" t="s">
        <v>444</v>
      </c>
      <c r="C121" t="s">
        <v>445</v>
      </c>
      <c r="D121" t="s">
        <v>439</v>
      </c>
      <c r="E121">
        <v>2015</v>
      </c>
      <c r="F121" t="s">
        <v>382</v>
      </c>
      <c r="G121" t="s">
        <v>429</v>
      </c>
      <c r="H121" t="s">
        <v>706</v>
      </c>
      <c r="I121" s="5" t="str">
        <f>IF(musicmd[[#This Row],[Views (YouTube)]]&gt;50000000,"Hit",IF(musicmd[[#This Row],[Views (YouTube)]]&gt;10000000,"Average","Low"))</f>
        <v>Hit</v>
      </c>
      <c r="J121" s="5" t="str">
        <f>IF(musicmd[[#This Row],[Views (YouTube)]]&gt;50000000,"High",IF(musicmd[[#This Row],[Views (YouTube)]]&gt;10000000,"Medium","Low"))</f>
        <v>High</v>
      </c>
    </row>
    <row r="122" spans="1:10" x14ac:dyDescent="0.3">
      <c r="A122" t="s">
        <v>446</v>
      </c>
      <c r="B122" t="s">
        <v>447</v>
      </c>
      <c r="C122" s="1" t="s">
        <v>847</v>
      </c>
      <c r="D122" t="s">
        <v>449</v>
      </c>
      <c r="E122">
        <v>2022</v>
      </c>
      <c r="F122" t="s">
        <v>382</v>
      </c>
      <c r="G122" t="s">
        <v>429</v>
      </c>
      <c r="H122" t="s">
        <v>718</v>
      </c>
      <c r="I122" s="5" t="str">
        <f>IF(musicmd[[#This Row],[Views (YouTube)]]&gt;50000000,"Hit",IF(musicmd[[#This Row],[Views (YouTube)]]&gt;10000000,"Average","Low"))</f>
        <v>Hit</v>
      </c>
      <c r="J122" s="5" t="str">
        <f>IF(musicmd[[#This Row],[Views (YouTube)]]&gt;50000000,"High",IF(musicmd[[#This Row],[Views (YouTube)]]&gt;10000000,"Medium","Low"))</f>
        <v>High</v>
      </c>
    </row>
    <row r="123" spans="1:10" x14ac:dyDescent="0.3">
      <c r="A123" t="s">
        <v>450</v>
      </c>
      <c r="B123" t="s">
        <v>451</v>
      </c>
      <c r="C123" t="s">
        <v>452</v>
      </c>
      <c r="D123" t="s">
        <v>46</v>
      </c>
      <c r="E123">
        <v>2021</v>
      </c>
      <c r="F123" t="s">
        <v>382</v>
      </c>
      <c r="G123" t="s">
        <v>348</v>
      </c>
      <c r="H123" t="s">
        <v>719</v>
      </c>
      <c r="I123" s="5" t="str">
        <f>IF(musicmd[[#This Row],[Views (YouTube)]]&gt;50000000,"Hit",IF(musicmd[[#This Row],[Views (YouTube)]]&gt;10000000,"Average","Low"))</f>
        <v>Hit</v>
      </c>
      <c r="J123" s="5" t="str">
        <f>IF(musicmd[[#This Row],[Views (YouTube)]]&gt;50000000,"High",IF(musicmd[[#This Row],[Views (YouTube)]]&gt;10000000,"Medium","Low"))</f>
        <v>High</v>
      </c>
    </row>
    <row r="124" spans="1:10" x14ac:dyDescent="0.3">
      <c r="A124" t="s">
        <v>453</v>
      </c>
      <c r="B124" t="s">
        <v>454</v>
      </c>
      <c r="C124" t="s">
        <v>455</v>
      </c>
      <c r="D124" t="s">
        <v>456</v>
      </c>
      <c r="E124">
        <v>2022</v>
      </c>
      <c r="F124" t="s">
        <v>382</v>
      </c>
      <c r="G124" t="s">
        <v>16</v>
      </c>
      <c r="H124" t="s">
        <v>720</v>
      </c>
      <c r="I124" s="5" t="str">
        <f>IF(musicmd[[#This Row],[Views (YouTube)]]&gt;50000000,"Hit",IF(musicmd[[#This Row],[Views (YouTube)]]&gt;10000000,"Average","Low"))</f>
        <v>Hit</v>
      </c>
      <c r="J124" s="5" t="str">
        <f>IF(musicmd[[#This Row],[Views (YouTube)]]&gt;50000000,"High",IF(musicmd[[#This Row],[Views (YouTube)]]&gt;10000000,"Medium","Low"))</f>
        <v>High</v>
      </c>
    </row>
    <row r="125" spans="1:10" x14ac:dyDescent="0.3">
      <c r="A125" t="s">
        <v>457</v>
      </c>
      <c r="B125" t="s">
        <v>458</v>
      </c>
      <c r="C125" s="1" t="s">
        <v>848</v>
      </c>
      <c r="D125" t="s">
        <v>460</v>
      </c>
      <c r="E125">
        <v>2023</v>
      </c>
      <c r="F125" t="s">
        <v>382</v>
      </c>
      <c r="G125" t="s">
        <v>122</v>
      </c>
      <c r="H125" t="s">
        <v>721</v>
      </c>
      <c r="I125" s="5" t="str">
        <f>IF(musicmd[[#This Row],[Views (YouTube)]]&gt;50000000,"Hit",IF(musicmd[[#This Row],[Views (YouTube)]]&gt;10000000,"Average","Low"))</f>
        <v>Hit</v>
      </c>
      <c r="J125" s="5" t="str">
        <f>IF(musicmd[[#This Row],[Views (YouTube)]]&gt;50000000,"High",IF(musicmd[[#This Row],[Views (YouTube)]]&gt;10000000,"Medium","Low"))</f>
        <v>High</v>
      </c>
    </row>
    <row r="126" spans="1:10" ht="28.8" x14ac:dyDescent="0.3">
      <c r="A126" t="s">
        <v>461</v>
      </c>
      <c r="B126" t="s">
        <v>462</v>
      </c>
      <c r="C126" s="1" t="s">
        <v>849</v>
      </c>
      <c r="D126" t="s">
        <v>460</v>
      </c>
      <c r="E126">
        <v>2023</v>
      </c>
      <c r="F126" t="s">
        <v>382</v>
      </c>
      <c r="G126" t="s">
        <v>348</v>
      </c>
      <c r="H126" t="s">
        <v>722</v>
      </c>
      <c r="I126" s="5" t="str">
        <f>IF(musicmd[[#This Row],[Views (YouTube)]]&gt;50000000,"Hit",IF(musicmd[[#This Row],[Views (YouTube)]]&gt;10000000,"Average","Low"))</f>
        <v>Hit</v>
      </c>
      <c r="J126" s="5" t="str">
        <f>IF(musicmd[[#This Row],[Views (YouTube)]]&gt;50000000,"High",IF(musicmd[[#This Row],[Views (YouTube)]]&gt;10000000,"Medium","Low"))</f>
        <v>High</v>
      </c>
    </row>
    <row r="127" spans="1:10" x14ac:dyDescent="0.3">
      <c r="A127" t="s">
        <v>464</v>
      </c>
      <c r="B127" t="s">
        <v>465</v>
      </c>
      <c r="C127" t="s">
        <v>850</v>
      </c>
      <c r="D127" t="s">
        <v>460</v>
      </c>
      <c r="E127">
        <v>2023</v>
      </c>
      <c r="F127" t="s">
        <v>382</v>
      </c>
      <c r="G127" t="s">
        <v>42</v>
      </c>
      <c r="H127" t="s">
        <v>723</v>
      </c>
      <c r="I127" s="5" t="str">
        <f>IF(musicmd[[#This Row],[Views (YouTube)]]&gt;50000000,"Hit",IF(musicmd[[#This Row],[Views (YouTube)]]&gt;10000000,"Average","Low"))</f>
        <v>Hit</v>
      </c>
      <c r="J127" s="5" t="str">
        <f>IF(musicmd[[#This Row],[Views (YouTube)]]&gt;50000000,"High",IF(musicmd[[#This Row],[Views (YouTube)]]&gt;10000000,"Medium","Low"))</f>
        <v>High</v>
      </c>
    </row>
    <row r="128" spans="1:10" x14ac:dyDescent="0.3">
      <c r="A128" t="s">
        <v>467</v>
      </c>
      <c r="B128" t="s">
        <v>468</v>
      </c>
      <c r="C128" s="1" t="s">
        <v>851</v>
      </c>
      <c r="D128" t="s">
        <v>470</v>
      </c>
      <c r="E128">
        <v>2014</v>
      </c>
      <c r="F128" t="s">
        <v>382</v>
      </c>
      <c r="G128" t="s">
        <v>16</v>
      </c>
      <c r="H128" t="s">
        <v>724</v>
      </c>
      <c r="I128" s="5" t="str">
        <f>IF(musicmd[[#This Row],[Views (YouTube)]]&gt;50000000,"Hit",IF(musicmd[[#This Row],[Views (YouTube)]]&gt;10000000,"Average","Low"))</f>
        <v>Hit</v>
      </c>
      <c r="J128" s="5" t="str">
        <f>IF(musicmd[[#This Row],[Views (YouTube)]]&gt;50000000,"High",IF(musicmd[[#This Row],[Views (YouTube)]]&gt;10000000,"Medium","Low"))</f>
        <v>High</v>
      </c>
    </row>
    <row r="129" spans="1:10" ht="28.8" x14ac:dyDescent="0.3">
      <c r="A129" t="s">
        <v>471</v>
      </c>
      <c r="B129" t="s">
        <v>472</v>
      </c>
      <c r="C129" s="1" t="s">
        <v>852</v>
      </c>
      <c r="D129" t="s">
        <v>474</v>
      </c>
      <c r="E129">
        <v>2024</v>
      </c>
      <c r="F129" t="s">
        <v>382</v>
      </c>
      <c r="G129" t="s">
        <v>348</v>
      </c>
      <c r="H129" t="s">
        <v>725</v>
      </c>
      <c r="I129" s="5" t="str">
        <f>IF(musicmd[[#This Row],[Views (YouTube)]]&gt;50000000,"Hit",IF(musicmd[[#This Row],[Views (YouTube)]]&gt;10000000,"Average","Low"))</f>
        <v>Hit</v>
      </c>
      <c r="J129" s="5" t="str">
        <f>IF(musicmd[[#This Row],[Views (YouTube)]]&gt;50000000,"High",IF(musicmd[[#This Row],[Views (YouTube)]]&gt;10000000,"Medium","Low"))</f>
        <v>High</v>
      </c>
    </row>
    <row r="130" spans="1:10" ht="28.8" x14ac:dyDescent="0.3">
      <c r="A130" t="s">
        <v>475</v>
      </c>
      <c r="B130" t="s">
        <v>476</v>
      </c>
      <c r="C130" s="1" t="s">
        <v>853</v>
      </c>
      <c r="D130" t="s">
        <v>478</v>
      </c>
      <c r="E130">
        <v>2017</v>
      </c>
      <c r="F130" t="s">
        <v>382</v>
      </c>
      <c r="G130" t="s">
        <v>122</v>
      </c>
      <c r="H130" t="s">
        <v>726</v>
      </c>
      <c r="I130" s="5" t="str">
        <f>IF(musicmd[[#This Row],[Views (YouTube)]]&gt;50000000,"Hit",IF(musicmd[[#This Row],[Views (YouTube)]]&gt;10000000,"Average","Low"))</f>
        <v>Hit</v>
      </c>
      <c r="J130" s="5" t="str">
        <f>IF(musicmd[[#This Row],[Views (YouTube)]]&gt;50000000,"High",IF(musicmd[[#This Row],[Views (YouTube)]]&gt;10000000,"Medium","Low"))</f>
        <v>High</v>
      </c>
    </row>
    <row r="131" spans="1:10" x14ac:dyDescent="0.3">
      <c r="A131" t="s">
        <v>479</v>
      </c>
      <c r="B131" t="s">
        <v>480</v>
      </c>
      <c r="C131" s="1" t="s">
        <v>854</v>
      </c>
      <c r="D131" t="s">
        <v>482</v>
      </c>
      <c r="E131">
        <v>2013</v>
      </c>
      <c r="F131" t="s">
        <v>382</v>
      </c>
      <c r="G131" t="s">
        <v>383</v>
      </c>
      <c r="H131" t="s">
        <v>727</v>
      </c>
      <c r="I131" s="5" t="str">
        <f>IF(musicmd[[#This Row],[Views (YouTube)]]&gt;50000000,"Hit",IF(musicmd[[#This Row],[Views (YouTube)]]&gt;10000000,"Average","Low"))</f>
        <v>Hit</v>
      </c>
      <c r="J131" s="5" t="str">
        <f>IF(musicmd[[#This Row],[Views (YouTube)]]&gt;50000000,"High",IF(musicmd[[#This Row],[Views (YouTube)]]&gt;10000000,"Medium","Low"))</f>
        <v>High</v>
      </c>
    </row>
    <row r="132" spans="1:10" x14ac:dyDescent="0.3">
      <c r="A132" t="s">
        <v>483</v>
      </c>
      <c r="B132" t="s">
        <v>484</v>
      </c>
      <c r="C132" t="s">
        <v>855</v>
      </c>
      <c r="D132" t="s">
        <v>486</v>
      </c>
      <c r="E132">
        <v>2021</v>
      </c>
      <c r="F132" t="s">
        <v>382</v>
      </c>
      <c r="G132" t="s">
        <v>66</v>
      </c>
      <c r="H132" t="s">
        <v>728</v>
      </c>
      <c r="I132" s="5" t="str">
        <f>IF(musicmd[[#This Row],[Views (YouTube)]]&gt;50000000,"Hit",IF(musicmd[[#This Row],[Views (YouTube)]]&gt;10000000,"Average","Low"))</f>
        <v>Hit</v>
      </c>
      <c r="J132" s="5" t="str">
        <f>IF(musicmd[[#This Row],[Views (YouTube)]]&gt;50000000,"High",IF(musicmd[[#This Row],[Views (YouTube)]]&gt;10000000,"Medium","Low"))</f>
        <v>High</v>
      </c>
    </row>
    <row r="133" spans="1:10" ht="28.8" x14ac:dyDescent="0.3">
      <c r="A133" t="s">
        <v>487</v>
      </c>
      <c r="B133" t="s">
        <v>488</v>
      </c>
      <c r="C133" s="1" t="s">
        <v>856</v>
      </c>
      <c r="D133" t="s">
        <v>486</v>
      </c>
      <c r="E133">
        <v>2021</v>
      </c>
      <c r="F133" t="s">
        <v>382</v>
      </c>
      <c r="G133" t="s">
        <v>300</v>
      </c>
      <c r="H133" t="s">
        <v>729</v>
      </c>
      <c r="I133" s="5" t="str">
        <f>IF(musicmd[[#This Row],[Views (YouTube)]]&gt;50000000,"Hit",IF(musicmd[[#This Row],[Views (YouTube)]]&gt;10000000,"Average","Low"))</f>
        <v>Hit</v>
      </c>
      <c r="J133" s="5" t="str">
        <f>IF(musicmd[[#This Row],[Views (YouTube)]]&gt;50000000,"High",IF(musicmd[[#This Row],[Views (YouTube)]]&gt;10000000,"Medium","Low"))</f>
        <v>High</v>
      </c>
    </row>
    <row r="134" spans="1:10" ht="28.8" x14ac:dyDescent="0.3">
      <c r="A134" t="s">
        <v>490</v>
      </c>
      <c r="B134" t="s">
        <v>491</v>
      </c>
      <c r="C134" s="1" t="s">
        <v>857</v>
      </c>
      <c r="D134" t="s">
        <v>493</v>
      </c>
      <c r="E134">
        <v>2010</v>
      </c>
      <c r="F134" t="s">
        <v>382</v>
      </c>
      <c r="G134" t="s">
        <v>494</v>
      </c>
      <c r="H134" t="s">
        <v>704</v>
      </c>
      <c r="I134" s="5" t="str">
        <f>IF(musicmd[[#This Row],[Views (YouTube)]]&gt;50000000,"Hit",IF(musicmd[[#This Row],[Views (YouTube)]]&gt;10000000,"Average","Low"))</f>
        <v>Hit</v>
      </c>
      <c r="J134" s="5" t="str">
        <f>IF(musicmd[[#This Row],[Views (YouTube)]]&gt;50000000,"High",IF(musicmd[[#This Row],[Views (YouTube)]]&gt;10000000,"Medium","Low"))</f>
        <v>High</v>
      </c>
    </row>
    <row r="135" spans="1:10" x14ac:dyDescent="0.3">
      <c r="A135" t="s">
        <v>495</v>
      </c>
      <c r="B135" t="s">
        <v>496</v>
      </c>
      <c r="C135" s="1" t="s">
        <v>858</v>
      </c>
      <c r="D135" t="s">
        <v>493</v>
      </c>
      <c r="E135">
        <v>2010</v>
      </c>
      <c r="F135" t="s">
        <v>382</v>
      </c>
      <c r="G135" t="s">
        <v>498</v>
      </c>
      <c r="H135" t="s">
        <v>704</v>
      </c>
      <c r="I135" s="5" t="str">
        <f>IF(musicmd[[#This Row],[Views (YouTube)]]&gt;50000000,"Hit",IF(musicmd[[#This Row],[Views (YouTube)]]&gt;10000000,"Average","Low"))</f>
        <v>Hit</v>
      </c>
      <c r="J135" s="5" t="str">
        <f>IF(musicmd[[#This Row],[Views (YouTube)]]&gt;50000000,"High",IF(musicmd[[#This Row],[Views (YouTube)]]&gt;10000000,"Medium","Low"))</f>
        <v>High</v>
      </c>
    </row>
    <row r="136" spans="1:10" x14ac:dyDescent="0.3">
      <c r="A136" t="s">
        <v>499</v>
      </c>
      <c r="B136" t="s">
        <v>500</v>
      </c>
      <c r="C136" s="1" t="s">
        <v>859</v>
      </c>
      <c r="D136" t="s">
        <v>493</v>
      </c>
      <c r="E136">
        <v>2010</v>
      </c>
      <c r="F136" t="s">
        <v>382</v>
      </c>
      <c r="G136" t="s">
        <v>502</v>
      </c>
      <c r="H136" t="s">
        <v>730</v>
      </c>
      <c r="I136" s="5" t="str">
        <f>IF(musicmd[[#This Row],[Views (YouTube)]]&gt;50000000,"Hit",IF(musicmd[[#This Row],[Views (YouTube)]]&gt;10000000,"Average","Low"))</f>
        <v>Hit</v>
      </c>
      <c r="J136" s="5" t="str">
        <f>IF(musicmd[[#This Row],[Views (YouTube)]]&gt;50000000,"High",IF(musicmd[[#This Row],[Views (YouTube)]]&gt;10000000,"Medium","Low"))</f>
        <v>High</v>
      </c>
    </row>
    <row r="137" spans="1:10" x14ac:dyDescent="0.3">
      <c r="A137" t="s">
        <v>503</v>
      </c>
      <c r="B137" t="s">
        <v>504</v>
      </c>
      <c r="C137" s="1" t="s">
        <v>860</v>
      </c>
      <c r="D137" t="s">
        <v>493</v>
      </c>
      <c r="E137">
        <v>2010</v>
      </c>
      <c r="F137" t="s">
        <v>382</v>
      </c>
      <c r="G137" t="s">
        <v>70</v>
      </c>
      <c r="H137" t="s">
        <v>731</v>
      </c>
      <c r="I137" s="5" t="str">
        <f>IF(musicmd[[#This Row],[Views (YouTube)]]&gt;50000000,"Hit",IF(musicmd[[#This Row],[Views (YouTube)]]&gt;10000000,"Average","Low"))</f>
        <v>Hit</v>
      </c>
      <c r="J137" s="5" t="str">
        <f>IF(musicmd[[#This Row],[Views (YouTube)]]&gt;50000000,"High",IF(musicmd[[#This Row],[Views (YouTube)]]&gt;10000000,"Medium","Low"))</f>
        <v>High</v>
      </c>
    </row>
    <row r="138" spans="1:10" x14ac:dyDescent="0.3">
      <c r="A138" t="s">
        <v>506</v>
      </c>
      <c r="B138" t="s">
        <v>507</v>
      </c>
      <c r="C138" t="s">
        <v>83</v>
      </c>
      <c r="D138" t="s">
        <v>509</v>
      </c>
      <c r="E138">
        <v>2005</v>
      </c>
      <c r="F138" t="s">
        <v>382</v>
      </c>
      <c r="G138" t="s">
        <v>66</v>
      </c>
      <c r="H138" t="s">
        <v>699</v>
      </c>
      <c r="I138" s="5" t="str">
        <f>IF(musicmd[[#This Row],[Views (YouTube)]]&gt;50000000,"Hit",IF(musicmd[[#This Row],[Views (YouTube)]]&gt;10000000,"Average","Low"))</f>
        <v>Hit</v>
      </c>
      <c r="J138" s="5" t="str">
        <f>IF(musicmd[[#This Row],[Views (YouTube)]]&gt;50000000,"High",IF(musicmd[[#This Row],[Views (YouTube)]]&gt;10000000,"Medium","Low"))</f>
        <v>High</v>
      </c>
    </row>
    <row r="139" spans="1:10" x14ac:dyDescent="0.3">
      <c r="A139" t="s">
        <v>510</v>
      </c>
      <c r="B139" t="s">
        <v>511</v>
      </c>
      <c r="C139" s="1" t="s">
        <v>861</v>
      </c>
      <c r="D139" t="s">
        <v>509</v>
      </c>
      <c r="E139">
        <v>2005</v>
      </c>
      <c r="F139" t="s">
        <v>382</v>
      </c>
      <c r="G139" t="s">
        <v>300</v>
      </c>
      <c r="H139" t="s">
        <v>732</v>
      </c>
      <c r="I139" s="5" t="str">
        <f>IF(musicmd[[#This Row],[Views (YouTube)]]&gt;50000000,"Hit",IF(musicmd[[#This Row],[Views (YouTube)]]&gt;10000000,"Average","Low"))</f>
        <v>Hit</v>
      </c>
      <c r="J139" s="5" t="str">
        <f>IF(musicmd[[#This Row],[Views (YouTube)]]&gt;50000000,"High",IF(musicmd[[#This Row],[Views (YouTube)]]&gt;10000000,"Medium","Low"))</f>
        <v>High</v>
      </c>
    </row>
    <row r="140" spans="1:10" x14ac:dyDescent="0.3">
      <c r="A140" t="s">
        <v>513</v>
      </c>
      <c r="B140" t="s">
        <v>514</v>
      </c>
      <c r="C140" s="1" t="s">
        <v>862</v>
      </c>
      <c r="D140" t="s">
        <v>509</v>
      </c>
      <c r="E140">
        <v>2005</v>
      </c>
      <c r="F140" t="s">
        <v>382</v>
      </c>
      <c r="G140" t="s">
        <v>300</v>
      </c>
      <c r="H140" t="s">
        <v>733</v>
      </c>
      <c r="I140" s="5" t="str">
        <f>IF(musicmd[[#This Row],[Views (YouTube)]]&gt;50000000,"Hit",IF(musicmd[[#This Row],[Views (YouTube)]]&gt;10000000,"Average","Low"))</f>
        <v>Hit</v>
      </c>
      <c r="J140" s="5" t="str">
        <f>IF(musicmd[[#This Row],[Views (YouTube)]]&gt;50000000,"High",IF(musicmd[[#This Row],[Views (YouTube)]]&gt;10000000,"Medium","Low"))</f>
        <v>High</v>
      </c>
    </row>
    <row r="141" spans="1:10" ht="28.8" x14ac:dyDescent="0.3">
      <c r="A141" t="s">
        <v>516</v>
      </c>
      <c r="B141" t="s">
        <v>517</v>
      </c>
      <c r="C141" s="1" t="s">
        <v>863</v>
      </c>
      <c r="D141" t="s">
        <v>519</v>
      </c>
      <c r="E141">
        <v>2016</v>
      </c>
      <c r="F141" t="s">
        <v>382</v>
      </c>
      <c r="G141" t="s">
        <v>502</v>
      </c>
      <c r="H141" t="s">
        <v>734</v>
      </c>
      <c r="I141" s="5" t="str">
        <f>IF(musicmd[[#This Row],[Views (YouTube)]]&gt;50000000,"Hit",IF(musicmd[[#This Row],[Views (YouTube)]]&gt;10000000,"Average","Low"))</f>
        <v>Hit</v>
      </c>
      <c r="J141" s="5" t="str">
        <f>IF(musicmd[[#This Row],[Views (YouTube)]]&gt;50000000,"High",IF(musicmd[[#This Row],[Views (YouTube)]]&gt;10000000,"Medium","Low"))</f>
        <v>High</v>
      </c>
    </row>
    <row r="142" spans="1:10" x14ac:dyDescent="0.3">
      <c r="A142" t="s">
        <v>520</v>
      </c>
      <c r="B142" t="s">
        <v>521</v>
      </c>
      <c r="C142" s="1" t="s">
        <v>864</v>
      </c>
      <c r="D142" t="s">
        <v>519</v>
      </c>
      <c r="E142">
        <v>2016</v>
      </c>
      <c r="F142" t="s">
        <v>382</v>
      </c>
      <c r="G142" t="s">
        <v>122</v>
      </c>
      <c r="H142" t="s">
        <v>735</v>
      </c>
      <c r="I142" s="5" t="str">
        <f>IF(musicmd[[#This Row],[Views (YouTube)]]&gt;50000000,"Hit",IF(musicmd[[#This Row],[Views (YouTube)]]&gt;10000000,"Average","Low"))</f>
        <v>Hit</v>
      </c>
      <c r="J142" s="5" t="str">
        <f>IF(musicmd[[#This Row],[Views (YouTube)]]&gt;50000000,"High",IF(musicmd[[#This Row],[Views (YouTube)]]&gt;10000000,"Medium","Low"))</f>
        <v>High</v>
      </c>
    </row>
    <row r="143" spans="1:10" ht="28.8" x14ac:dyDescent="0.3">
      <c r="A143" t="s">
        <v>523</v>
      </c>
      <c r="B143" t="s">
        <v>524</v>
      </c>
      <c r="C143" s="1" t="s">
        <v>865</v>
      </c>
      <c r="D143" t="s">
        <v>519</v>
      </c>
      <c r="E143">
        <v>2016</v>
      </c>
      <c r="F143" t="s">
        <v>382</v>
      </c>
      <c r="G143" t="s">
        <v>122</v>
      </c>
      <c r="H143" t="s">
        <v>714</v>
      </c>
      <c r="I143" s="5" t="str">
        <f>IF(musicmd[[#This Row],[Views (YouTube)]]&gt;50000000,"Hit",IF(musicmd[[#This Row],[Views (YouTube)]]&gt;10000000,"Average","Low"))</f>
        <v>Hit</v>
      </c>
      <c r="J143" s="5" t="str">
        <f>IF(musicmd[[#This Row],[Views (YouTube)]]&gt;50000000,"High",IF(musicmd[[#This Row],[Views (YouTube)]]&gt;10000000,"Medium","Low"))</f>
        <v>High</v>
      </c>
    </row>
    <row r="144" spans="1:10" x14ac:dyDescent="0.3">
      <c r="A144" t="s">
        <v>526</v>
      </c>
      <c r="B144" t="s">
        <v>527</v>
      </c>
      <c r="C144" s="1" t="s">
        <v>866</v>
      </c>
      <c r="D144" t="s">
        <v>529</v>
      </c>
      <c r="E144">
        <v>1998</v>
      </c>
      <c r="F144" t="s">
        <v>382</v>
      </c>
      <c r="G144" t="s">
        <v>66</v>
      </c>
      <c r="H144" t="s">
        <v>730</v>
      </c>
      <c r="I144" s="5" t="str">
        <f>IF(musicmd[[#This Row],[Views (YouTube)]]&gt;50000000,"Hit",IF(musicmd[[#This Row],[Views (YouTube)]]&gt;10000000,"Average","Low"))</f>
        <v>Hit</v>
      </c>
      <c r="J144" s="5" t="str">
        <f>IF(musicmd[[#This Row],[Views (YouTube)]]&gt;50000000,"High",IF(musicmd[[#This Row],[Views (YouTube)]]&gt;10000000,"Medium","Low"))</f>
        <v>High</v>
      </c>
    </row>
    <row r="145" spans="1:10" x14ac:dyDescent="0.3">
      <c r="A145" t="s">
        <v>530</v>
      </c>
      <c r="B145" t="s">
        <v>531</v>
      </c>
      <c r="C145" s="1" t="s">
        <v>867</v>
      </c>
      <c r="D145" t="s">
        <v>529</v>
      </c>
      <c r="E145">
        <v>1998</v>
      </c>
      <c r="F145" t="s">
        <v>382</v>
      </c>
      <c r="G145" t="s">
        <v>16</v>
      </c>
      <c r="H145" t="s">
        <v>731</v>
      </c>
      <c r="I145" s="5" t="str">
        <f>IF(musicmd[[#This Row],[Views (YouTube)]]&gt;50000000,"Hit",IF(musicmd[[#This Row],[Views (YouTube)]]&gt;10000000,"Average","Low"))</f>
        <v>Hit</v>
      </c>
      <c r="J145" s="5" t="str">
        <f>IF(musicmd[[#This Row],[Views (YouTube)]]&gt;50000000,"High",IF(musicmd[[#This Row],[Views (YouTube)]]&gt;10000000,"Medium","Low"))</f>
        <v>High</v>
      </c>
    </row>
    <row r="146" spans="1:10" x14ac:dyDescent="0.3">
      <c r="A146" t="s">
        <v>533</v>
      </c>
      <c r="B146" t="s">
        <v>534</v>
      </c>
      <c r="C146" s="1" t="s">
        <v>868</v>
      </c>
      <c r="D146" t="s">
        <v>536</v>
      </c>
      <c r="E146">
        <v>2016</v>
      </c>
      <c r="F146" t="s">
        <v>382</v>
      </c>
      <c r="G146" t="s">
        <v>537</v>
      </c>
      <c r="H146" t="s">
        <v>704</v>
      </c>
      <c r="I146" s="5" t="str">
        <f>IF(musicmd[[#This Row],[Views (YouTube)]]&gt;50000000,"Hit",IF(musicmd[[#This Row],[Views (YouTube)]]&gt;10000000,"Average","Low"))</f>
        <v>Hit</v>
      </c>
      <c r="J146" s="5" t="str">
        <f>IF(musicmd[[#This Row],[Views (YouTube)]]&gt;50000000,"High",IF(musicmd[[#This Row],[Views (YouTube)]]&gt;10000000,"Medium","Low"))</f>
        <v>High</v>
      </c>
    </row>
    <row r="147" spans="1:10" x14ac:dyDescent="0.3">
      <c r="A147" t="s">
        <v>538</v>
      </c>
      <c r="B147" t="s">
        <v>539</v>
      </c>
      <c r="C147" t="s">
        <v>540</v>
      </c>
      <c r="D147" t="s">
        <v>536</v>
      </c>
      <c r="E147">
        <v>2016</v>
      </c>
      <c r="F147" t="s">
        <v>382</v>
      </c>
      <c r="G147" t="s">
        <v>541</v>
      </c>
      <c r="H147" t="s">
        <v>736</v>
      </c>
      <c r="I147" s="5" t="str">
        <f>IF(musicmd[[#This Row],[Views (YouTube)]]&gt;50000000,"Hit",IF(musicmd[[#This Row],[Views (YouTube)]]&gt;10000000,"Average","Low"))</f>
        <v>Hit</v>
      </c>
      <c r="J147" s="5" t="str">
        <f>IF(musicmd[[#This Row],[Views (YouTube)]]&gt;50000000,"High",IF(musicmd[[#This Row],[Views (YouTube)]]&gt;10000000,"Medium","Low"))</f>
        <v>High</v>
      </c>
    </row>
    <row r="148" spans="1:10" x14ac:dyDescent="0.3">
      <c r="A148" t="s">
        <v>542</v>
      </c>
      <c r="B148" t="s">
        <v>543</v>
      </c>
      <c r="C148" t="s">
        <v>869</v>
      </c>
      <c r="D148" t="s">
        <v>545</v>
      </c>
      <c r="E148">
        <v>2024</v>
      </c>
      <c r="F148" t="s">
        <v>382</v>
      </c>
      <c r="G148" t="s">
        <v>70</v>
      </c>
      <c r="H148" t="s">
        <v>730</v>
      </c>
      <c r="I148" s="5" t="str">
        <f>IF(musicmd[[#This Row],[Views (YouTube)]]&gt;50000000,"Hit",IF(musicmd[[#This Row],[Views (YouTube)]]&gt;10000000,"Average","Low"))</f>
        <v>Hit</v>
      </c>
      <c r="J148" s="5" t="str">
        <f>IF(musicmd[[#This Row],[Views (YouTube)]]&gt;50000000,"High",IF(musicmd[[#This Row],[Views (YouTube)]]&gt;10000000,"Medium","Low"))</f>
        <v>High</v>
      </c>
    </row>
    <row r="149" spans="1:10" x14ac:dyDescent="0.3">
      <c r="A149" t="s">
        <v>546</v>
      </c>
      <c r="B149" t="s">
        <v>547</v>
      </c>
      <c r="C149" s="1" t="s">
        <v>870</v>
      </c>
      <c r="D149" t="s">
        <v>549</v>
      </c>
      <c r="E149">
        <v>2022</v>
      </c>
      <c r="F149" t="s">
        <v>382</v>
      </c>
      <c r="G149" t="s">
        <v>42</v>
      </c>
      <c r="H149" t="s">
        <v>685</v>
      </c>
      <c r="I149" s="5" t="str">
        <f>IF(musicmd[[#This Row],[Views (YouTube)]]&gt;50000000,"Hit",IF(musicmd[[#This Row],[Views (YouTube)]]&gt;10000000,"Average","Low"))</f>
        <v>Hit</v>
      </c>
      <c r="J149" s="5" t="str">
        <f>IF(musicmd[[#This Row],[Views (YouTube)]]&gt;50000000,"High",IF(musicmd[[#This Row],[Views (YouTube)]]&gt;10000000,"Medium","Low"))</f>
        <v>High</v>
      </c>
    </row>
    <row r="150" spans="1:10" x14ac:dyDescent="0.3">
      <c r="A150" t="s">
        <v>550</v>
      </c>
      <c r="B150" t="s">
        <v>551</v>
      </c>
      <c r="C150" s="1" t="s">
        <v>871</v>
      </c>
      <c r="D150" t="s">
        <v>549</v>
      </c>
      <c r="E150">
        <v>2022</v>
      </c>
      <c r="F150" t="s">
        <v>382</v>
      </c>
      <c r="G150" t="s">
        <v>66</v>
      </c>
      <c r="H150" t="s">
        <v>669</v>
      </c>
      <c r="I150" s="5" t="str">
        <f>IF(musicmd[[#This Row],[Views (YouTube)]]&gt;50000000,"Hit",IF(musicmd[[#This Row],[Views (YouTube)]]&gt;10000000,"Average","Low"))</f>
        <v>Hit</v>
      </c>
      <c r="J150" s="5" t="str">
        <f>IF(musicmd[[#This Row],[Views (YouTube)]]&gt;50000000,"High",IF(musicmd[[#This Row],[Views (YouTube)]]&gt;10000000,"Medium","Low"))</f>
        <v>High</v>
      </c>
    </row>
    <row r="151" spans="1:10" x14ac:dyDescent="0.3">
      <c r="A151" t="s">
        <v>553</v>
      </c>
      <c r="B151" t="s">
        <v>554</v>
      </c>
      <c r="C151" t="s">
        <v>872</v>
      </c>
      <c r="D151" t="s">
        <v>556</v>
      </c>
      <c r="E151">
        <v>2018</v>
      </c>
      <c r="F151" t="s">
        <v>382</v>
      </c>
      <c r="G151" t="s">
        <v>55</v>
      </c>
      <c r="H151" t="s">
        <v>737</v>
      </c>
      <c r="I151" s="5" t="str">
        <f>IF(musicmd[[#This Row],[Views (YouTube)]]&gt;50000000,"Hit",IF(musicmd[[#This Row],[Views (YouTube)]]&gt;10000000,"Average","Low"))</f>
        <v>Hit</v>
      </c>
      <c r="J151" s="5" t="str">
        <f>IF(musicmd[[#This Row],[Views (YouTube)]]&gt;50000000,"High",IF(musicmd[[#This Row],[Views (YouTube)]]&gt;10000000,"Medium","Low"))</f>
        <v>High</v>
      </c>
    </row>
    <row r="152" spans="1:10" x14ac:dyDescent="0.3">
      <c r="A152" t="s">
        <v>557</v>
      </c>
      <c r="B152" t="s">
        <v>558</v>
      </c>
      <c r="C152" t="s">
        <v>873</v>
      </c>
      <c r="D152" t="s">
        <v>560</v>
      </c>
      <c r="E152">
        <v>2004</v>
      </c>
      <c r="F152" t="s">
        <v>382</v>
      </c>
      <c r="G152" t="s">
        <v>42</v>
      </c>
      <c r="H152" t="s">
        <v>717</v>
      </c>
      <c r="I152" s="5" t="str">
        <f>IF(musicmd[[#This Row],[Views (YouTube)]]&gt;50000000,"Hit",IF(musicmd[[#This Row],[Views (YouTube)]]&gt;10000000,"Average","Low"))</f>
        <v>Hit</v>
      </c>
      <c r="J152" s="5" t="str">
        <f>IF(musicmd[[#This Row],[Views (YouTube)]]&gt;50000000,"High",IF(musicmd[[#This Row],[Views (YouTube)]]&gt;10000000,"Medium","Low"))</f>
        <v>High</v>
      </c>
    </row>
    <row r="153" spans="1:10" ht="28.8" x14ac:dyDescent="0.3">
      <c r="A153" t="s">
        <v>561</v>
      </c>
      <c r="B153" t="s">
        <v>562</v>
      </c>
      <c r="C153" s="1" t="s">
        <v>874</v>
      </c>
      <c r="D153" t="s">
        <v>564</v>
      </c>
      <c r="E153">
        <v>2024</v>
      </c>
      <c r="F153" t="s">
        <v>565</v>
      </c>
      <c r="G153" t="s">
        <v>70</v>
      </c>
      <c r="H153" t="s">
        <v>730</v>
      </c>
      <c r="I153" s="5" t="str">
        <f>IF(musicmd[[#This Row],[Views (YouTube)]]&gt;50000000,"Hit",IF(musicmd[[#This Row],[Views (YouTube)]]&gt;10000000,"Average","Low"))</f>
        <v>Hit</v>
      </c>
      <c r="J153" s="5" t="str">
        <f>IF(musicmd[[#This Row],[Views (YouTube)]]&gt;50000000,"High",IF(musicmd[[#This Row],[Views (YouTube)]]&gt;10000000,"Medium","Low"))</f>
        <v>High</v>
      </c>
    </row>
    <row r="154" spans="1:10" x14ac:dyDescent="0.3">
      <c r="A154" t="s">
        <v>566</v>
      </c>
      <c r="B154" t="s">
        <v>567</v>
      </c>
      <c r="C154" s="1" t="s">
        <v>875</v>
      </c>
      <c r="D154" t="s">
        <v>564</v>
      </c>
      <c r="E154">
        <v>2024</v>
      </c>
      <c r="F154" t="s">
        <v>565</v>
      </c>
      <c r="G154" t="s">
        <v>70</v>
      </c>
      <c r="H154" t="s">
        <v>668</v>
      </c>
      <c r="I154" s="5" t="str">
        <f>IF(musicmd[[#This Row],[Views (YouTube)]]&gt;50000000,"Hit",IF(musicmd[[#This Row],[Views (YouTube)]]&gt;10000000,"Average","Low"))</f>
        <v>Hit</v>
      </c>
      <c r="J154" s="5" t="str">
        <f>IF(musicmd[[#This Row],[Views (YouTube)]]&gt;50000000,"High",IF(musicmd[[#This Row],[Views (YouTube)]]&gt;10000000,"Medium","Low"))</f>
        <v>High</v>
      </c>
    </row>
    <row r="155" spans="1:10" x14ac:dyDescent="0.3">
      <c r="A155" t="s">
        <v>569</v>
      </c>
      <c r="B155" t="s">
        <v>570</v>
      </c>
      <c r="C155" t="s">
        <v>876</v>
      </c>
      <c r="D155" t="s">
        <v>564</v>
      </c>
      <c r="E155">
        <v>2024</v>
      </c>
      <c r="F155" t="s">
        <v>565</v>
      </c>
      <c r="G155" t="s">
        <v>66</v>
      </c>
      <c r="H155" t="s">
        <v>738</v>
      </c>
      <c r="I155" s="5" t="str">
        <f>IF(musicmd[[#This Row],[Views (YouTube)]]&gt;50000000,"Hit",IF(musicmd[[#This Row],[Views (YouTube)]]&gt;10000000,"Average","Low"))</f>
        <v>Hit</v>
      </c>
      <c r="J155" s="5" t="str">
        <f>IF(musicmd[[#This Row],[Views (YouTube)]]&gt;50000000,"High",IF(musicmd[[#This Row],[Views (YouTube)]]&gt;10000000,"Medium","Low"))</f>
        <v>High</v>
      </c>
    </row>
    <row r="156" spans="1:10" x14ac:dyDescent="0.3">
      <c r="A156" t="s">
        <v>572</v>
      </c>
      <c r="B156" t="s">
        <v>573</v>
      </c>
      <c r="C156" t="s">
        <v>877</v>
      </c>
      <c r="D156" t="s">
        <v>564</v>
      </c>
      <c r="E156">
        <v>2024</v>
      </c>
      <c r="F156" t="s">
        <v>565</v>
      </c>
      <c r="G156" t="s">
        <v>575</v>
      </c>
      <c r="H156" t="s">
        <v>739</v>
      </c>
      <c r="I156" s="5" t="str">
        <f>IF(musicmd[[#This Row],[Views (YouTube)]]&gt;50000000,"Hit",IF(musicmd[[#This Row],[Views (YouTube)]]&gt;10000000,"Average","Low"))</f>
        <v>Hit</v>
      </c>
      <c r="J156" s="5" t="str">
        <f>IF(musicmd[[#This Row],[Views (YouTube)]]&gt;50000000,"High",IF(musicmd[[#This Row],[Views (YouTube)]]&gt;10000000,"Medium","Low"))</f>
        <v>High</v>
      </c>
    </row>
    <row r="157" spans="1:10" x14ac:dyDescent="0.3">
      <c r="A157" t="s">
        <v>576</v>
      </c>
      <c r="B157" t="s">
        <v>577</v>
      </c>
      <c r="C157" s="1" t="s">
        <v>878</v>
      </c>
      <c r="D157" t="s">
        <v>579</v>
      </c>
      <c r="E157">
        <v>2024</v>
      </c>
      <c r="F157" t="s">
        <v>565</v>
      </c>
      <c r="G157" t="s">
        <v>429</v>
      </c>
      <c r="H157" t="s">
        <v>740</v>
      </c>
      <c r="I157" s="5" t="str">
        <f>IF(musicmd[[#This Row],[Views (YouTube)]]&gt;50000000,"Hit",IF(musicmd[[#This Row],[Views (YouTube)]]&gt;10000000,"Average","Low"))</f>
        <v>Hit</v>
      </c>
      <c r="J157" s="5" t="str">
        <f>IF(musicmd[[#This Row],[Views (YouTube)]]&gt;50000000,"High",IF(musicmd[[#This Row],[Views (YouTube)]]&gt;10000000,"Medium","Low"))</f>
        <v>High</v>
      </c>
    </row>
    <row r="158" spans="1:10" x14ac:dyDescent="0.3">
      <c r="A158" t="s">
        <v>580</v>
      </c>
      <c r="B158" t="s">
        <v>581</v>
      </c>
      <c r="C158" s="1" t="s">
        <v>879</v>
      </c>
      <c r="D158" t="s">
        <v>579</v>
      </c>
      <c r="E158">
        <v>2024</v>
      </c>
      <c r="F158" t="s">
        <v>565</v>
      </c>
      <c r="G158" t="s">
        <v>583</v>
      </c>
      <c r="H158" t="s">
        <v>704</v>
      </c>
      <c r="I158" s="5" t="str">
        <f>IF(musicmd[[#This Row],[Views (YouTube)]]&gt;50000000,"Hit",IF(musicmd[[#This Row],[Views (YouTube)]]&gt;10000000,"Average","Low"))</f>
        <v>Hit</v>
      </c>
      <c r="J158" s="5" t="str">
        <f>IF(musicmd[[#This Row],[Views (YouTube)]]&gt;50000000,"High",IF(musicmd[[#This Row],[Views (YouTube)]]&gt;10000000,"Medium","Low"))</f>
        <v>High</v>
      </c>
    </row>
    <row r="159" spans="1:10" x14ac:dyDescent="0.3">
      <c r="A159" t="s">
        <v>584</v>
      </c>
      <c r="B159" t="s">
        <v>585</v>
      </c>
      <c r="C159" s="1" t="s">
        <v>880</v>
      </c>
      <c r="D159" t="s">
        <v>579</v>
      </c>
      <c r="E159">
        <v>2024</v>
      </c>
      <c r="F159" t="s">
        <v>565</v>
      </c>
      <c r="G159" t="s">
        <v>70</v>
      </c>
      <c r="H159" t="s">
        <v>741</v>
      </c>
      <c r="I159" s="5" t="str">
        <f>IF(musicmd[[#This Row],[Views (YouTube)]]&gt;50000000,"Hit",IF(musicmd[[#This Row],[Views (YouTube)]]&gt;10000000,"Average","Low"))</f>
        <v>Hit</v>
      </c>
      <c r="J159" s="5" t="str">
        <f>IF(musicmd[[#This Row],[Views (YouTube)]]&gt;50000000,"High",IF(musicmd[[#This Row],[Views (YouTube)]]&gt;10000000,"Medium","Low"))</f>
        <v>High</v>
      </c>
    </row>
    <row r="160" spans="1:10" x14ac:dyDescent="0.3">
      <c r="A160" t="s">
        <v>587</v>
      </c>
      <c r="B160" t="s">
        <v>588</v>
      </c>
      <c r="C160" s="1" t="s">
        <v>881</v>
      </c>
      <c r="D160" t="s">
        <v>579</v>
      </c>
      <c r="E160">
        <v>2024</v>
      </c>
      <c r="F160" t="s">
        <v>565</v>
      </c>
      <c r="G160" t="s">
        <v>95</v>
      </c>
      <c r="H160" t="s">
        <v>668</v>
      </c>
      <c r="I160" s="5" t="str">
        <f>IF(musicmd[[#This Row],[Views (YouTube)]]&gt;50000000,"Hit",IF(musicmd[[#This Row],[Views (YouTube)]]&gt;10000000,"Average","Low"))</f>
        <v>Hit</v>
      </c>
      <c r="J160" s="5" t="str">
        <f>IF(musicmd[[#This Row],[Views (YouTube)]]&gt;50000000,"High",IF(musicmd[[#This Row],[Views (YouTube)]]&gt;10000000,"Medium","Low"))</f>
        <v>High</v>
      </c>
    </row>
    <row r="161" spans="1:10" x14ac:dyDescent="0.3">
      <c r="A161" t="s">
        <v>590</v>
      </c>
      <c r="B161" t="s">
        <v>591</v>
      </c>
      <c r="C161" s="1" t="s">
        <v>882</v>
      </c>
      <c r="D161" t="s">
        <v>579</v>
      </c>
      <c r="E161">
        <v>2024</v>
      </c>
      <c r="F161" t="s">
        <v>565</v>
      </c>
      <c r="G161" t="s">
        <v>55</v>
      </c>
      <c r="H161" t="s">
        <v>742</v>
      </c>
      <c r="I161" s="5" t="str">
        <f>IF(musicmd[[#This Row],[Views (YouTube)]]&gt;50000000,"Hit",IF(musicmd[[#This Row],[Views (YouTube)]]&gt;10000000,"Average","Low"))</f>
        <v>Hit</v>
      </c>
      <c r="J161" s="5" t="str">
        <f>IF(musicmd[[#This Row],[Views (YouTube)]]&gt;50000000,"High",IF(musicmd[[#This Row],[Views (YouTube)]]&gt;10000000,"Medium","Low"))</f>
        <v>High</v>
      </c>
    </row>
    <row r="162" spans="1:10" x14ac:dyDescent="0.3">
      <c r="A162" t="s">
        <v>593</v>
      </c>
      <c r="B162" t="s">
        <v>594</v>
      </c>
      <c r="C162" t="s">
        <v>883</v>
      </c>
      <c r="D162" t="s">
        <v>596</v>
      </c>
      <c r="E162">
        <v>2025</v>
      </c>
      <c r="F162" t="s">
        <v>565</v>
      </c>
      <c r="G162" t="s">
        <v>597</v>
      </c>
      <c r="H162" t="s">
        <v>743</v>
      </c>
      <c r="I162" s="5" t="str">
        <f>IF(musicmd[[#This Row],[Views (YouTube)]]&gt;50000000,"Hit",IF(musicmd[[#This Row],[Views (YouTube)]]&gt;10000000,"Average","Low"))</f>
        <v>Hit</v>
      </c>
      <c r="J162" s="5" t="str">
        <f>IF(musicmd[[#This Row],[Views (YouTube)]]&gt;50000000,"High",IF(musicmd[[#This Row],[Views (YouTube)]]&gt;10000000,"Medium","Low"))</f>
        <v>High</v>
      </c>
    </row>
    <row r="163" spans="1:10" x14ac:dyDescent="0.3">
      <c r="A163" t="s">
        <v>598</v>
      </c>
      <c r="B163" t="s">
        <v>599</v>
      </c>
      <c r="C163" t="s">
        <v>600</v>
      </c>
      <c r="D163" t="s">
        <v>601</v>
      </c>
      <c r="E163">
        <v>2019</v>
      </c>
      <c r="F163" t="s">
        <v>565</v>
      </c>
      <c r="G163" t="s">
        <v>95</v>
      </c>
      <c r="H163" t="s">
        <v>744</v>
      </c>
      <c r="I163" s="5" t="str">
        <f>IF(musicmd[[#This Row],[Views (YouTube)]]&gt;50000000,"Hit",IF(musicmd[[#This Row],[Views (YouTube)]]&gt;10000000,"Average","Low"))</f>
        <v>Hit</v>
      </c>
      <c r="J163" s="5" t="str">
        <f>IF(musicmd[[#This Row],[Views (YouTube)]]&gt;50000000,"High",IF(musicmd[[#This Row],[Views (YouTube)]]&gt;10000000,"Medium","Low"))</f>
        <v>High</v>
      </c>
    </row>
    <row r="164" spans="1:10" x14ac:dyDescent="0.3">
      <c r="A164" t="s">
        <v>602</v>
      </c>
      <c r="B164" t="s">
        <v>603</v>
      </c>
      <c r="C164" t="s">
        <v>604</v>
      </c>
      <c r="D164" t="s">
        <v>601</v>
      </c>
      <c r="E164">
        <v>2019</v>
      </c>
      <c r="F164" t="s">
        <v>565</v>
      </c>
      <c r="G164" t="s">
        <v>605</v>
      </c>
      <c r="H164" t="s">
        <v>745</v>
      </c>
      <c r="I164" s="5" t="str">
        <f>IF(musicmd[[#This Row],[Views (YouTube)]]&gt;50000000,"Hit",IF(musicmd[[#This Row],[Views (YouTube)]]&gt;10000000,"Average","Low"))</f>
        <v>Hit</v>
      </c>
      <c r="J164" s="5" t="str">
        <f>IF(musicmd[[#This Row],[Views (YouTube)]]&gt;50000000,"High",IF(musicmd[[#This Row],[Views (YouTube)]]&gt;10000000,"Medium","Low"))</f>
        <v>High</v>
      </c>
    </row>
    <row r="165" spans="1:10" ht="28.8" x14ac:dyDescent="0.3">
      <c r="A165" t="s">
        <v>606</v>
      </c>
      <c r="B165" t="s">
        <v>607</v>
      </c>
      <c r="C165" s="1" t="s">
        <v>884</v>
      </c>
      <c r="D165" t="s">
        <v>609</v>
      </c>
      <c r="E165">
        <v>2020</v>
      </c>
      <c r="F165" t="s">
        <v>565</v>
      </c>
      <c r="G165" t="s">
        <v>605</v>
      </c>
      <c r="H165" t="s">
        <v>746</v>
      </c>
      <c r="I165" s="5" t="str">
        <f>IF(musicmd[[#This Row],[Views (YouTube)]]&gt;50000000,"Hit",IF(musicmd[[#This Row],[Views (YouTube)]]&gt;10000000,"Average","Low"))</f>
        <v>Hit</v>
      </c>
      <c r="J165" s="5" t="str">
        <f>IF(musicmd[[#This Row],[Views (YouTube)]]&gt;50000000,"High",IF(musicmd[[#This Row],[Views (YouTube)]]&gt;10000000,"Medium","Low"))</f>
        <v>High</v>
      </c>
    </row>
    <row r="166" spans="1:10" x14ac:dyDescent="0.3">
      <c r="A166" t="s">
        <v>610</v>
      </c>
      <c r="B166" t="s">
        <v>611</v>
      </c>
      <c r="C166" t="s">
        <v>885</v>
      </c>
      <c r="D166" t="s">
        <v>609</v>
      </c>
      <c r="E166">
        <v>2020</v>
      </c>
      <c r="F166" t="s">
        <v>565</v>
      </c>
      <c r="G166" t="s">
        <v>154</v>
      </c>
      <c r="H166" t="s">
        <v>747</v>
      </c>
      <c r="I166" s="5" t="str">
        <f>IF(musicmd[[#This Row],[Views (YouTube)]]&gt;50000000,"Hit",IF(musicmd[[#This Row],[Views (YouTube)]]&gt;10000000,"Average","Low"))</f>
        <v>Hit</v>
      </c>
      <c r="J166" s="5" t="str">
        <f>IF(musicmd[[#This Row],[Views (YouTube)]]&gt;50000000,"High",IF(musicmd[[#This Row],[Views (YouTube)]]&gt;10000000,"Medium","Low"))</f>
        <v>High</v>
      </c>
    </row>
    <row r="167" spans="1:10" x14ac:dyDescent="0.3">
      <c r="A167" t="s">
        <v>613</v>
      </c>
      <c r="B167" t="s">
        <v>614</v>
      </c>
      <c r="C167" t="s">
        <v>886</v>
      </c>
      <c r="D167" t="s">
        <v>609</v>
      </c>
      <c r="E167">
        <v>2020</v>
      </c>
      <c r="F167" t="s">
        <v>565</v>
      </c>
      <c r="G167" t="s">
        <v>537</v>
      </c>
      <c r="H167" t="s">
        <v>728</v>
      </c>
      <c r="I167" s="5" t="str">
        <f>IF(musicmd[[#This Row],[Views (YouTube)]]&gt;50000000,"Hit",IF(musicmd[[#This Row],[Views (YouTube)]]&gt;10000000,"Average","Low"))</f>
        <v>Hit</v>
      </c>
      <c r="J167" s="5" t="str">
        <f>IF(musicmd[[#This Row],[Views (YouTube)]]&gt;50000000,"High",IF(musicmd[[#This Row],[Views (YouTube)]]&gt;10000000,"Medium","Low"))</f>
        <v>High</v>
      </c>
    </row>
    <row r="168" spans="1:10" x14ac:dyDescent="0.3">
      <c r="A168" t="s">
        <v>616</v>
      </c>
      <c r="B168" t="s">
        <v>617</v>
      </c>
      <c r="C168" s="1" t="s">
        <v>887</v>
      </c>
      <c r="D168" t="s">
        <v>619</v>
      </c>
      <c r="E168">
        <v>2025</v>
      </c>
      <c r="F168" t="s">
        <v>565</v>
      </c>
      <c r="G168" t="s">
        <v>122</v>
      </c>
      <c r="H168" t="s">
        <v>748</v>
      </c>
      <c r="I168" s="5" t="str">
        <f>IF(musicmd[[#This Row],[Views (YouTube)]]&gt;50000000,"Hit",IF(musicmd[[#This Row],[Views (YouTube)]]&gt;10000000,"Average","Low"))</f>
        <v>Hit</v>
      </c>
      <c r="J168" s="5" t="str">
        <f>IF(musicmd[[#This Row],[Views (YouTube)]]&gt;50000000,"High",IF(musicmd[[#This Row],[Views (YouTube)]]&gt;10000000,"Medium","Low"))</f>
        <v>High</v>
      </c>
    </row>
    <row r="169" spans="1:10" x14ac:dyDescent="0.3">
      <c r="A169" t="s">
        <v>620</v>
      </c>
      <c r="B169" t="s">
        <v>621</v>
      </c>
      <c r="C169" t="s">
        <v>888</v>
      </c>
      <c r="D169" t="s">
        <v>623</v>
      </c>
      <c r="E169">
        <v>2022</v>
      </c>
      <c r="F169" t="s">
        <v>565</v>
      </c>
      <c r="G169" t="s">
        <v>70</v>
      </c>
      <c r="H169" t="s">
        <v>738</v>
      </c>
      <c r="I169" s="5" t="str">
        <f>IF(musicmd[[#This Row],[Views (YouTube)]]&gt;50000000,"Hit",IF(musicmd[[#This Row],[Views (YouTube)]]&gt;10000000,"Average","Low"))</f>
        <v>Hit</v>
      </c>
      <c r="J169" s="5" t="str">
        <f>IF(musicmd[[#This Row],[Views (YouTube)]]&gt;50000000,"High",IF(musicmd[[#This Row],[Views (YouTube)]]&gt;10000000,"Medium","Low"))</f>
        <v>High</v>
      </c>
    </row>
    <row r="170" spans="1:10" ht="28.8" x14ac:dyDescent="0.3">
      <c r="A170" t="s">
        <v>624</v>
      </c>
      <c r="B170" t="s">
        <v>625</v>
      </c>
      <c r="C170" s="1" t="s">
        <v>889</v>
      </c>
      <c r="D170" t="s">
        <v>623</v>
      </c>
      <c r="E170">
        <v>2022</v>
      </c>
      <c r="F170" t="s">
        <v>565</v>
      </c>
      <c r="G170" t="s">
        <v>201</v>
      </c>
      <c r="H170" t="s">
        <v>749</v>
      </c>
      <c r="I170" s="5" t="str">
        <f>IF(musicmd[[#This Row],[Views (YouTube)]]&gt;50000000,"Hit",IF(musicmd[[#This Row],[Views (YouTube)]]&gt;10000000,"Average","Low"))</f>
        <v>Hit</v>
      </c>
      <c r="J170" s="5" t="str">
        <f>IF(musicmd[[#This Row],[Views (YouTube)]]&gt;50000000,"High",IF(musicmd[[#This Row],[Views (YouTube)]]&gt;10000000,"Medium","Low"))</f>
        <v>High</v>
      </c>
    </row>
    <row r="171" spans="1:10" ht="28.8" x14ac:dyDescent="0.3">
      <c r="A171" t="s">
        <v>627</v>
      </c>
      <c r="B171" t="s">
        <v>628</v>
      </c>
      <c r="C171" s="1" t="s">
        <v>890</v>
      </c>
      <c r="D171" t="s">
        <v>623</v>
      </c>
      <c r="E171">
        <v>2022</v>
      </c>
      <c r="F171" t="s">
        <v>565</v>
      </c>
      <c r="G171" t="s">
        <v>630</v>
      </c>
      <c r="H171" t="s">
        <v>713</v>
      </c>
      <c r="I171" s="5" t="str">
        <f>IF(musicmd[[#This Row],[Views (YouTube)]]&gt;50000000,"Hit",IF(musicmd[[#This Row],[Views (YouTube)]]&gt;10000000,"Average","Low"))</f>
        <v>Hit</v>
      </c>
      <c r="J171" s="5" t="str">
        <f>IF(musicmd[[#This Row],[Views (YouTube)]]&gt;50000000,"High",IF(musicmd[[#This Row],[Views (YouTube)]]&gt;10000000,"Medium","Low"))</f>
        <v>High</v>
      </c>
    </row>
    <row r="172" spans="1:10" ht="57.6" x14ac:dyDescent="0.3">
      <c r="A172" t="s">
        <v>631</v>
      </c>
      <c r="B172" t="s">
        <v>632</v>
      </c>
      <c r="C172" s="1" t="s">
        <v>891</v>
      </c>
      <c r="D172" t="s">
        <v>623</v>
      </c>
      <c r="E172">
        <v>2022</v>
      </c>
      <c r="F172" t="s">
        <v>565</v>
      </c>
      <c r="G172" t="s">
        <v>55</v>
      </c>
      <c r="H172" t="s">
        <v>750</v>
      </c>
      <c r="I172" s="5" t="str">
        <f>IF(musicmd[[#This Row],[Views (YouTube)]]&gt;50000000,"Hit",IF(musicmd[[#This Row],[Views (YouTube)]]&gt;10000000,"Average","Low"))</f>
        <v>Hit</v>
      </c>
      <c r="J172" s="5" t="str">
        <f>IF(musicmd[[#This Row],[Views (YouTube)]]&gt;50000000,"High",IF(musicmd[[#This Row],[Views (YouTube)]]&gt;10000000,"Medium","Low"))</f>
        <v>High</v>
      </c>
    </row>
    <row r="173" spans="1:10" x14ac:dyDescent="0.3">
      <c r="A173" t="s">
        <v>634</v>
      </c>
      <c r="B173" t="s">
        <v>635</v>
      </c>
      <c r="C173" t="s">
        <v>892</v>
      </c>
      <c r="D173" t="s">
        <v>623</v>
      </c>
      <c r="E173">
        <v>2022</v>
      </c>
      <c r="F173" t="s">
        <v>565</v>
      </c>
      <c r="G173" t="s">
        <v>70</v>
      </c>
      <c r="H173" t="s">
        <v>751</v>
      </c>
      <c r="I173" s="5" t="str">
        <f>IF(musicmd[[#This Row],[Views (YouTube)]]&gt;50000000,"Hit",IF(musicmd[[#This Row],[Views (YouTube)]]&gt;10000000,"Average","Low"))</f>
        <v>Hit</v>
      </c>
      <c r="J173" s="5" t="str">
        <f>IF(musicmd[[#This Row],[Views (YouTube)]]&gt;50000000,"High",IF(musicmd[[#This Row],[Views (YouTube)]]&gt;10000000,"Medium","Low"))</f>
        <v>High</v>
      </c>
    </row>
    <row r="174" spans="1:10" ht="28.8" x14ac:dyDescent="0.3">
      <c r="A174" t="s">
        <v>637</v>
      </c>
      <c r="B174" t="s">
        <v>638</v>
      </c>
      <c r="C174" s="1" t="s">
        <v>893</v>
      </c>
      <c r="D174" t="s">
        <v>623</v>
      </c>
      <c r="E174">
        <v>2022</v>
      </c>
      <c r="F174" t="s">
        <v>565</v>
      </c>
      <c r="G174" t="s">
        <v>640</v>
      </c>
      <c r="H174" t="s">
        <v>746</v>
      </c>
      <c r="I174" s="5" t="str">
        <f>IF(musicmd[[#This Row],[Views (YouTube)]]&gt;50000000,"Hit",IF(musicmd[[#This Row],[Views (YouTube)]]&gt;10000000,"Average","Low"))</f>
        <v>Hit</v>
      </c>
      <c r="J174" s="5" t="str">
        <f>IF(musicmd[[#This Row],[Views (YouTube)]]&gt;50000000,"High",IF(musicmd[[#This Row],[Views (YouTube)]]&gt;10000000,"Medium","Low"))</f>
        <v>High</v>
      </c>
    </row>
    <row r="175" spans="1:10" x14ac:dyDescent="0.3">
      <c r="A175" t="s">
        <v>641</v>
      </c>
      <c r="B175" t="s">
        <v>642</v>
      </c>
      <c r="C175" t="s">
        <v>894</v>
      </c>
      <c r="D175" t="s">
        <v>623</v>
      </c>
      <c r="E175">
        <v>2022</v>
      </c>
      <c r="F175" t="s">
        <v>565</v>
      </c>
      <c r="G175" t="s">
        <v>55</v>
      </c>
      <c r="H175" t="s">
        <v>728</v>
      </c>
      <c r="I175" s="5" t="str">
        <f>IF(musicmd[[#This Row],[Views (YouTube)]]&gt;50000000,"Hit",IF(musicmd[[#This Row],[Views (YouTube)]]&gt;10000000,"Average","Low"))</f>
        <v>Hit</v>
      </c>
      <c r="J175" s="5" t="str">
        <f>IF(musicmd[[#This Row],[Views (YouTube)]]&gt;50000000,"High",IF(musicmd[[#This Row],[Views (YouTube)]]&gt;10000000,"Medium","Low"))</f>
        <v>High</v>
      </c>
    </row>
    <row r="176" spans="1:10" ht="28.8" x14ac:dyDescent="0.3">
      <c r="A176" t="s">
        <v>644</v>
      </c>
      <c r="B176" t="s">
        <v>645</v>
      </c>
      <c r="C176" s="1" t="s">
        <v>895</v>
      </c>
      <c r="D176" t="s">
        <v>623</v>
      </c>
      <c r="E176">
        <v>2022</v>
      </c>
      <c r="F176" t="s">
        <v>565</v>
      </c>
      <c r="G176" t="s">
        <v>429</v>
      </c>
      <c r="H176" t="s">
        <v>752</v>
      </c>
      <c r="I176" s="5" t="str">
        <f>IF(musicmd[[#This Row],[Views (YouTube)]]&gt;50000000,"Hit",IF(musicmd[[#This Row],[Views (YouTube)]]&gt;10000000,"Average","Low"))</f>
        <v>Hit</v>
      </c>
      <c r="J176" s="5" t="str">
        <f>IF(musicmd[[#This Row],[Views (YouTube)]]&gt;50000000,"High",IF(musicmd[[#This Row],[Views (YouTube)]]&gt;10000000,"Medium","Low"))</f>
        <v>High</v>
      </c>
    </row>
    <row r="177" spans="1:10" x14ac:dyDescent="0.3">
      <c r="A177" t="s">
        <v>647</v>
      </c>
      <c r="B177" t="s">
        <v>648</v>
      </c>
      <c r="C177" t="s">
        <v>649</v>
      </c>
      <c r="D177" t="s">
        <v>623</v>
      </c>
      <c r="E177">
        <v>2022</v>
      </c>
      <c r="F177" t="s">
        <v>565</v>
      </c>
      <c r="G177" t="s">
        <v>70</v>
      </c>
      <c r="H177" t="s">
        <v>753</v>
      </c>
      <c r="I177" s="5" t="str">
        <f>IF(musicmd[[#This Row],[Views (YouTube)]]&gt;50000000,"Hit",IF(musicmd[[#This Row],[Views (YouTube)]]&gt;10000000,"Average","Low"))</f>
        <v>Hit</v>
      </c>
      <c r="J177" s="5" t="str">
        <f>IF(musicmd[[#This Row],[Views (YouTube)]]&gt;50000000,"High",IF(musicmd[[#This Row],[Views (YouTube)]]&gt;10000000,"Medium","Low"))</f>
        <v>High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09326-7CAB-4BEF-991F-41C71605F523}">
  <dimension ref="A3:C344"/>
  <sheetViews>
    <sheetView tabSelected="1" topLeftCell="A156" workbookViewId="0">
      <selection activeCell="A333" sqref="A333:C344"/>
    </sheetView>
  </sheetViews>
  <sheetFormatPr defaultRowHeight="14.4" x14ac:dyDescent="0.3"/>
  <cols>
    <col min="1" max="1" width="12.5546875" bestFit="1" customWidth="1"/>
    <col min="2" max="2" width="18.6640625" bestFit="1" customWidth="1"/>
  </cols>
  <sheetData>
    <row r="3" spans="1:2" x14ac:dyDescent="0.3">
      <c r="A3" s="2" t="s">
        <v>650</v>
      </c>
      <c r="B3" t="s">
        <v>652</v>
      </c>
    </row>
    <row r="4" spans="1:2" x14ac:dyDescent="0.3">
      <c r="A4" s="3" t="s">
        <v>300</v>
      </c>
      <c r="B4">
        <v>7</v>
      </c>
    </row>
    <row r="5" spans="1:2" x14ac:dyDescent="0.3">
      <c r="A5" s="3" t="s">
        <v>597</v>
      </c>
      <c r="B5">
        <v>1</v>
      </c>
    </row>
    <row r="6" spans="1:2" x14ac:dyDescent="0.3">
      <c r="A6" s="3" t="s">
        <v>32</v>
      </c>
      <c r="B6">
        <v>2</v>
      </c>
    </row>
    <row r="7" spans="1:2" x14ac:dyDescent="0.3">
      <c r="A7" s="3" t="s">
        <v>494</v>
      </c>
      <c r="B7">
        <v>1</v>
      </c>
    </row>
    <row r="8" spans="1:2" x14ac:dyDescent="0.3">
      <c r="A8" s="3" t="s">
        <v>498</v>
      </c>
      <c r="B8">
        <v>1</v>
      </c>
    </row>
    <row r="9" spans="1:2" x14ac:dyDescent="0.3">
      <c r="A9" s="3" t="s">
        <v>154</v>
      </c>
      <c r="B9">
        <v>3</v>
      </c>
    </row>
    <row r="10" spans="1:2" x14ac:dyDescent="0.3">
      <c r="A10" s="3" t="s">
        <v>224</v>
      </c>
      <c r="B10">
        <v>1</v>
      </c>
    </row>
    <row r="11" spans="1:2" x14ac:dyDescent="0.3">
      <c r="A11" s="3" t="s">
        <v>575</v>
      </c>
      <c r="B11">
        <v>1</v>
      </c>
    </row>
    <row r="12" spans="1:2" x14ac:dyDescent="0.3">
      <c r="A12" s="3" t="s">
        <v>403</v>
      </c>
      <c r="B12">
        <v>1</v>
      </c>
    </row>
    <row r="13" spans="1:2" x14ac:dyDescent="0.3">
      <c r="A13" s="3" t="s">
        <v>20</v>
      </c>
      <c r="B13">
        <v>1</v>
      </c>
    </row>
    <row r="14" spans="1:2" x14ac:dyDescent="0.3">
      <c r="A14" s="3" t="s">
        <v>348</v>
      </c>
      <c r="B14">
        <v>6</v>
      </c>
    </row>
    <row r="15" spans="1:2" x14ac:dyDescent="0.3">
      <c r="A15" s="3" t="s">
        <v>47</v>
      </c>
      <c r="B15">
        <v>4</v>
      </c>
    </row>
    <row r="16" spans="1:2" x14ac:dyDescent="0.3">
      <c r="A16" s="3" t="s">
        <v>100</v>
      </c>
      <c r="B16">
        <v>2</v>
      </c>
    </row>
    <row r="17" spans="1:2" x14ac:dyDescent="0.3">
      <c r="A17" s="3" t="s">
        <v>55</v>
      </c>
      <c r="B17">
        <v>8</v>
      </c>
    </row>
    <row r="18" spans="1:2" x14ac:dyDescent="0.3">
      <c r="A18" s="3" t="s">
        <v>95</v>
      </c>
      <c r="B18">
        <v>8</v>
      </c>
    </row>
    <row r="19" spans="1:2" x14ac:dyDescent="0.3">
      <c r="A19" s="3" t="s">
        <v>51</v>
      </c>
      <c r="B19">
        <v>2</v>
      </c>
    </row>
    <row r="20" spans="1:2" x14ac:dyDescent="0.3">
      <c r="A20" s="3" t="s">
        <v>332</v>
      </c>
      <c r="B20">
        <v>1</v>
      </c>
    </row>
    <row r="21" spans="1:2" x14ac:dyDescent="0.3">
      <c r="A21" s="3" t="s">
        <v>429</v>
      </c>
      <c r="B21">
        <v>5</v>
      </c>
    </row>
    <row r="22" spans="1:2" x14ac:dyDescent="0.3">
      <c r="A22" s="3" t="s">
        <v>541</v>
      </c>
      <c r="B22">
        <v>1</v>
      </c>
    </row>
    <row r="23" spans="1:2" x14ac:dyDescent="0.3">
      <c r="A23" s="3" t="s">
        <v>537</v>
      </c>
      <c r="B23">
        <v>2</v>
      </c>
    </row>
    <row r="24" spans="1:2" x14ac:dyDescent="0.3">
      <c r="A24" s="3" t="s">
        <v>201</v>
      </c>
      <c r="B24">
        <v>3</v>
      </c>
    </row>
    <row r="25" spans="1:2" x14ac:dyDescent="0.3">
      <c r="A25" s="3" t="s">
        <v>383</v>
      </c>
      <c r="B25">
        <v>2</v>
      </c>
    </row>
    <row r="26" spans="1:2" x14ac:dyDescent="0.3">
      <c r="A26" s="3" t="s">
        <v>388</v>
      </c>
      <c r="B26">
        <v>1</v>
      </c>
    </row>
    <row r="27" spans="1:2" x14ac:dyDescent="0.3">
      <c r="A27" s="3" t="s">
        <v>583</v>
      </c>
      <c r="B27">
        <v>1</v>
      </c>
    </row>
    <row r="28" spans="1:2" x14ac:dyDescent="0.3">
      <c r="A28" s="3" t="s">
        <v>324</v>
      </c>
      <c r="B28">
        <v>1</v>
      </c>
    </row>
    <row r="29" spans="1:2" x14ac:dyDescent="0.3">
      <c r="A29" s="3" t="s">
        <v>70</v>
      </c>
      <c r="B29">
        <v>12</v>
      </c>
    </row>
    <row r="30" spans="1:2" x14ac:dyDescent="0.3">
      <c r="A30" s="3" t="s">
        <v>16</v>
      </c>
      <c r="B30">
        <v>21</v>
      </c>
    </row>
    <row r="31" spans="1:2" x14ac:dyDescent="0.3">
      <c r="A31" s="3" t="s">
        <v>122</v>
      </c>
      <c r="B31">
        <v>15</v>
      </c>
    </row>
    <row r="32" spans="1:2" x14ac:dyDescent="0.3">
      <c r="A32" s="3" t="s">
        <v>640</v>
      </c>
      <c r="B32">
        <v>1</v>
      </c>
    </row>
    <row r="33" spans="1:2" x14ac:dyDescent="0.3">
      <c r="A33" s="3" t="s">
        <v>12</v>
      </c>
      <c r="B33">
        <v>2</v>
      </c>
    </row>
    <row r="34" spans="1:2" x14ac:dyDescent="0.3">
      <c r="A34" s="3" t="s">
        <v>66</v>
      </c>
      <c r="B34">
        <v>32</v>
      </c>
    </row>
    <row r="35" spans="1:2" x14ac:dyDescent="0.3">
      <c r="A35" s="3" t="s">
        <v>311</v>
      </c>
      <c r="B35">
        <v>2</v>
      </c>
    </row>
    <row r="36" spans="1:2" x14ac:dyDescent="0.3">
      <c r="A36" s="3" t="s">
        <v>502</v>
      </c>
      <c r="B36">
        <v>2</v>
      </c>
    </row>
    <row r="37" spans="1:2" x14ac:dyDescent="0.3">
      <c r="A37" s="3" t="s">
        <v>42</v>
      </c>
      <c r="B37">
        <v>13</v>
      </c>
    </row>
    <row r="38" spans="1:2" x14ac:dyDescent="0.3">
      <c r="A38" s="3" t="s">
        <v>353</v>
      </c>
      <c r="B38">
        <v>1</v>
      </c>
    </row>
    <row r="39" spans="1:2" x14ac:dyDescent="0.3">
      <c r="A39" s="3" t="s">
        <v>605</v>
      </c>
      <c r="B39">
        <v>2</v>
      </c>
    </row>
    <row r="40" spans="1:2" x14ac:dyDescent="0.3">
      <c r="A40" s="3" t="s">
        <v>341</v>
      </c>
      <c r="B40">
        <v>2</v>
      </c>
    </row>
    <row r="41" spans="1:2" x14ac:dyDescent="0.3">
      <c r="A41" s="3" t="s">
        <v>630</v>
      </c>
      <c r="B41">
        <v>1</v>
      </c>
    </row>
    <row r="42" spans="1:2" x14ac:dyDescent="0.3">
      <c r="A42" s="3" t="s">
        <v>87</v>
      </c>
      <c r="B42">
        <v>1</v>
      </c>
    </row>
    <row r="43" spans="1:2" x14ac:dyDescent="0.3">
      <c r="A43" s="3" t="s">
        <v>25</v>
      </c>
      <c r="B43">
        <v>2</v>
      </c>
    </row>
    <row r="44" spans="1:2" x14ac:dyDescent="0.3">
      <c r="A44" s="3" t="s">
        <v>651</v>
      </c>
      <c r="B44">
        <v>175</v>
      </c>
    </row>
    <row r="46" spans="1:2" x14ac:dyDescent="0.3">
      <c r="A46" s="2" t="s">
        <v>650</v>
      </c>
      <c r="B46" t="s">
        <v>652</v>
      </c>
    </row>
    <row r="47" spans="1:2" x14ac:dyDescent="0.3">
      <c r="A47" s="3" t="s">
        <v>382</v>
      </c>
      <c r="B47">
        <v>1</v>
      </c>
    </row>
    <row r="48" spans="1:2" x14ac:dyDescent="0.3">
      <c r="A48" s="3" t="s">
        <v>651</v>
      </c>
      <c r="B48">
        <v>1</v>
      </c>
    </row>
    <row r="50" spans="1:2" x14ac:dyDescent="0.3">
      <c r="A50" s="2" t="s">
        <v>650</v>
      </c>
      <c r="B50" t="s">
        <v>652</v>
      </c>
    </row>
    <row r="51" spans="1:2" x14ac:dyDescent="0.3">
      <c r="A51" s="3">
        <v>3</v>
      </c>
      <c r="B51">
        <v>6</v>
      </c>
    </row>
    <row r="52" spans="1:2" x14ac:dyDescent="0.3">
      <c r="A52" s="3" t="s">
        <v>94</v>
      </c>
      <c r="B52">
        <v>1</v>
      </c>
    </row>
    <row r="53" spans="1:2" x14ac:dyDescent="0.3">
      <c r="A53" s="3" t="s">
        <v>10</v>
      </c>
      <c r="B53">
        <v>3</v>
      </c>
    </row>
    <row r="54" spans="1:2" x14ac:dyDescent="0.3">
      <c r="A54" s="3" t="s">
        <v>24</v>
      </c>
      <c r="B54">
        <v>3</v>
      </c>
    </row>
    <row r="55" spans="1:2" x14ac:dyDescent="0.3">
      <c r="A55" s="3" t="s">
        <v>228</v>
      </c>
      <c r="B55">
        <v>1</v>
      </c>
    </row>
    <row r="56" spans="1:2" x14ac:dyDescent="0.3">
      <c r="A56" s="3" t="s">
        <v>395</v>
      </c>
      <c r="B56">
        <v>1</v>
      </c>
    </row>
    <row r="57" spans="1:2" x14ac:dyDescent="0.3">
      <c r="A57" s="3" t="s">
        <v>399</v>
      </c>
      <c r="B57">
        <v>4</v>
      </c>
    </row>
    <row r="58" spans="1:2" x14ac:dyDescent="0.3">
      <c r="A58" s="3" t="s">
        <v>232</v>
      </c>
      <c r="B58">
        <v>1</v>
      </c>
    </row>
    <row r="59" spans="1:2" x14ac:dyDescent="0.3">
      <c r="A59" s="3" t="s">
        <v>80</v>
      </c>
      <c r="B59">
        <v>4</v>
      </c>
    </row>
    <row r="60" spans="1:2" x14ac:dyDescent="0.3">
      <c r="A60" s="3" t="s">
        <v>416</v>
      </c>
      <c r="B60">
        <v>3</v>
      </c>
    </row>
    <row r="61" spans="1:2" x14ac:dyDescent="0.3">
      <c r="A61" s="3" t="s">
        <v>65</v>
      </c>
      <c r="B61">
        <v>3</v>
      </c>
    </row>
    <row r="62" spans="1:2" x14ac:dyDescent="0.3">
      <c r="A62" s="3" t="s">
        <v>99</v>
      </c>
      <c r="B62">
        <v>2</v>
      </c>
    </row>
    <row r="63" spans="1:2" x14ac:dyDescent="0.3">
      <c r="A63" s="3" t="s">
        <v>425</v>
      </c>
      <c r="B63">
        <v>4</v>
      </c>
    </row>
    <row r="64" spans="1:2" x14ac:dyDescent="0.3">
      <c r="A64" s="3" t="s">
        <v>107</v>
      </c>
      <c r="B64">
        <v>1</v>
      </c>
    </row>
    <row r="65" spans="1:2" x14ac:dyDescent="0.3">
      <c r="A65" s="3" t="s">
        <v>111</v>
      </c>
      <c r="B65">
        <v>2</v>
      </c>
    </row>
    <row r="66" spans="1:2" x14ac:dyDescent="0.3">
      <c r="A66" s="3" t="s">
        <v>439</v>
      </c>
      <c r="B66">
        <v>3</v>
      </c>
    </row>
    <row r="67" spans="1:2" x14ac:dyDescent="0.3">
      <c r="A67" s="3" t="s">
        <v>118</v>
      </c>
      <c r="B67">
        <v>2</v>
      </c>
    </row>
    <row r="68" spans="1:2" x14ac:dyDescent="0.3">
      <c r="A68" s="3" t="s">
        <v>579</v>
      </c>
      <c r="B68">
        <v>5</v>
      </c>
    </row>
    <row r="69" spans="1:2" x14ac:dyDescent="0.3">
      <c r="A69" s="3" t="s">
        <v>126</v>
      </c>
      <c r="B69">
        <v>1</v>
      </c>
    </row>
    <row r="70" spans="1:2" x14ac:dyDescent="0.3">
      <c r="A70" s="3" t="s">
        <v>609</v>
      </c>
      <c r="B70">
        <v>3</v>
      </c>
    </row>
    <row r="71" spans="1:2" x14ac:dyDescent="0.3">
      <c r="A71" s="3" t="s">
        <v>130</v>
      </c>
      <c r="B71">
        <v>4</v>
      </c>
    </row>
    <row r="72" spans="1:2" x14ac:dyDescent="0.3">
      <c r="A72" s="3" t="s">
        <v>143</v>
      </c>
      <c r="B72">
        <v>2</v>
      </c>
    </row>
    <row r="73" spans="1:2" x14ac:dyDescent="0.3">
      <c r="A73" s="3" t="s">
        <v>470</v>
      </c>
      <c r="B73">
        <v>1</v>
      </c>
    </row>
    <row r="74" spans="1:2" x14ac:dyDescent="0.3">
      <c r="A74" s="3" t="s">
        <v>150</v>
      </c>
      <c r="B74">
        <v>2</v>
      </c>
    </row>
    <row r="75" spans="1:2" x14ac:dyDescent="0.3">
      <c r="A75" s="3" t="s">
        <v>474</v>
      </c>
      <c r="B75">
        <v>1</v>
      </c>
    </row>
    <row r="76" spans="1:2" x14ac:dyDescent="0.3">
      <c r="A76" s="3" t="s">
        <v>158</v>
      </c>
      <c r="B76">
        <v>3</v>
      </c>
    </row>
    <row r="77" spans="1:2" x14ac:dyDescent="0.3">
      <c r="A77" s="3" t="s">
        <v>377</v>
      </c>
      <c r="B77">
        <v>1</v>
      </c>
    </row>
    <row r="78" spans="1:2" x14ac:dyDescent="0.3">
      <c r="A78" s="3" t="s">
        <v>370</v>
      </c>
      <c r="B78">
        <v>2</v>
      </c>
    </row>
    <row r="79" spans="1:2" x14ac:dyDescent="0.3">
      <c r="A79" s="3" t="s">
        <v>172</v>
      </c>
      <c r="B79">
        <v>5</v>
      </c>
    </row>
    <row r="80" spans="1:2" x14ac:dyDescent="0.3">
      <c r="A80" s="3" t="s">
        <v>192</v>
      </c>
      <c r="B80">
        <v>1</v>
      </c>
    </row>
    <row r="81" spans="1:2" x14ac:dyDescent="0.3">
      <c r="A81" s="3" t="s">
        <v>168</v>
      </c>
      <c r="B81">
        <v>1</v>
      </c>
    </row>
    <row r="82" spans="1:2" x14ac:dyDescent="0.3">
      <c r="A82" s="3" t="s">
        <v>478</v>
      </c>
      <c r="B82">
        <v>1</v>
      </c>
    </row>
    <row r="83" spans="1:2" x14ac:dyDescent="0.3">
      <c r="A83" s="3" t="s">
        <v>449</v>
      </c>
      <c r="B83">
        <v>1</v>
      </c>
    </row>
    <row r="84" spans="1:2" x14ac:dyDescent="0.3">
      <c r="A84" s="3" t="s">
        <v>188</v>
      </c>
      <c r="B84">
        <v>1</v>
      </c>
    </row>
    <row r="85" spans="1:2" x14ac:dyDescent="0.3">
      <c r="A85" s="3" t="s">
        <v>205</v>
      </c>
      <c r="B85">
        <v>1</v>
      </c>
    </row>
    <row r="86" spans="1:2" x14ac:dyDescent="0.3">
      <c r="A86" s="3" t="s">
        <v>482</v>
      </c>
      <c r="B86">
        <v>1</v>
      </c>
    </row>
    <row r="87" spans="1:2" x14ac:dyDescent="0.3">
      <c r="A87" s="3" t="s">
        <v>196</v>
      </c>
      <c r="B87">
        <v>2</v>
      </c>
    </row>
    <row r="88" spans="1:2" x14ac:dyDescent="0.3">
      <c r="A88" s="3" t="s">
        <v>307</v>
      </c>
      <c r="B88">
        <v>3</v>
      </c>
    </row>
    <row r="89" spans="1:2" x14ac:dyDescent="0.3">
      <c r="A89" s="3" t="s">
        <v>209</v>
      </c>
      <c r="B89">
        <v>1</v>
      </c>
    </row>
    <row r="90" spans="1:2" x14ac:dyDescent="0.3">
      <c r="A90" s="3" t="s">
        <v>317</v>
      </c>
      <c r="B90">
        <v>1</v>
      </c>
    </row>
    <row r="91" spans="1:2" x14ac:dyDescent="0.3">
      <c r="A91" s="3" t="s">
        <v>320</v>
      </c>
      <c r="B91">
        <v>2</v>
      </c>
    </row>
    <row r="92" spans="1:2" x14ac:dyDescent="0.3">
      <c r="A92" s="3" t="s">
        <v>211</v>
      </c>
      <c r="B92">
        <v>1</v>
      </c>
    </row>
    <row r="93" spans="1:2" x14ac:dyDescent="0.3">
      <c r="A93" s="3" t="s">
        <v>216</v>
      </c>
      <c r="B93">
        <v>2</v>
      </c>
    </row>
    <row r="94" spans="1:2" x14ac:dyDescent="0.3">
      <c r="A94" s="3" t="s">
        <v>220</v>
      </c>
      <c r="B94">
        <v>2</v>
      </c>
    </row>
    <row r="95" spans="1:2" x14ac:dyDescent="0.3">
      <c r="A95" s="3" t="s">
        <v>331</v>
      </c>
      <c r="B95">
        <v>1</v>
      </c>
    </row>
    <row r="96" spans="1:2" x14ac:dyDescent="0.3">
      <c r="A96" s="3" t="s">
        <v>381</v>
      </c>
      <c r="B96">
        <v>1</v>
      </c>
    </row>
    <row r="97" spans="1:2" x14ac:dyDescent="0.3">
      <c r="A97" s="3" t="s">
        <v>336</v>
      </c>
      <c r="B97">
        <v>1</v>
      </c>
    </row>
    <row r="98" spans="1:2" x14ac:dyDescent="0.3">
      <c r="A98" s="3" t="s">
        <v>387</v>
      </c>
      <c r="B98">
        <v>2</v>
      </c>
    </row>
    <row r="99" spans="1:2" x14ac:dyDescent="0.3">
      <c r="A99" s="3" t="s">
        <v>340</v>
      </c>
      <c r="B99">
        <v>1</v>
      </c>
    </row>
    <row r="100" spans="1:2" x14ac:dyDescent="0.3">
      <c r="A100" s="3" t="s">
        <v>345</v>
      </c>
      <c r="B100">
        <v>2</v>
      </c>
    </row>
    <row r="101" spans="1:2" x14ac:dyDescent="0.3">
      <c r="A101" s="3" t="s">
        <v>352</v>
      </c>
      <c r="B101">
        <v>3</v>
      </c>
    </row>
    <row r="102" spans="1:2" x14ac:dyDescent="0.3">
      <c r="A102" s="3" t="s">
        <v>361</v>
      </c>
      <c r="B102">
        <v>1</v>
      </c>
    </row>
    <row r="103" spans="1:2" x14ac:dyDescent="0.3">
      <c r="A103" s="3" t="s">
        <v>486</v>
      </c>
      <c r="B103">
        <v>2</v>
      </c>
    </row>
    <row r="104" spans="1:2" x14ac:dyDescent="0.3">
      <c r="A104" s="3" t="s">
        <v>493</v>
      </c>
      <c r="B104">
        <v>4</v>
      </c>
    </row>
    <row r="105" spans="1:2" x14ac:dyDescent="0.3">
      <c r="A105" s="3" t="s">
        <v>509</v>
      </c>
      <c r="B105">
        <v>3</v>
      </c>
    </row>
    <row r="106" spans="1:2" x14ac:dyDescent="0.3">
      <c r="A106" s="3" t="s">
        <v>366</v>
      </c>
      <c r="B106">
        <v>1</v>
      </c>
    </row>
    <row r="107" spans="1:2" x14ac:dyDescent="0.3">
      <c r="A107" s="3" t="s">
        <v>519</v>
      </c>
      <c r="B107">
        <v>3</v>
      </c>
    </row>
    <row r="108" spans="1:2" x14ac:dyDescent="0.3">
      <c r="A108" s="3" t="s">
        <v>529</v>
      </c>
      <c r="B108">
        <v>2</v>
      </c>
    </row>
    <row r="109" spans="1:2" x14ac:dyDescent="0.3">
      <c r="A109" s="3" t="s">
        <v>536</v>
      </c>
      <c r="B109">
        <v>2</v>
      </c>
    </row>
    <row r="110" spans="1:2" x14ac:dyDescent="0.3">
      <c r="A110" s="3" t="s">
        <v>545</v>
      </c>
      <c r="B110">
        <v>1</v>
      </c>
    </row>
    <row r="111" spans="1:2" x14ac:dyDescent="0.3">
      <c r="A111" s="3" t="s">
        <v>596</v>
      </c>
      <c r="B111">
        <v>1</v>
      </c>
    </row>
    <row r="112" spans="1:2" x14ac:dyDescent="0.3">
      <c r="A112" s="3" t="s">
        <v>549</v>
      </c>
      <c r="B112">
        <v>2</v>
      </c>
    </row>
    <row r="113" spans="1:2" x14ac:dyDescent="0.3">
      <c r="A113" s="3" t="s">
        <v>601</v>
      </c>
      <c r="B113">
        <v>2</v>
      </c>
    </row>
    <row r="114" spans="1:2" x14ac:dyDescent="0.3">
      <c r="A114" s="3" t="s">
        <v>556</v>
      </c>
      <c r="B114">
        <v>1</v>
      </c>
    </row>
    <row r="115" spans="1:2" x14ac:dyDescent="0.3">
      <c r="A115" s="3" t="s">
        <v>560</v>
      </c>
      <c r="B115">
        <v>1</v>
      </c>
    </row>
    <row r="116" spans="1:2" x14ac:dyDescent="0.3">
      <c r="A116" s="3" t="s">
        <v>619</v>
      </c>
      <c r="B116">
        <v>1</v>
      </c>
    </row>
    <row r="117" spans="1:2" x14ac:dyDescent="0.3">
      <c r="A117" s="3" t="s">
        <v>460</v>
      </c>
      <c r="B117">
        <v>3</v>
      </c>
    </row>
    <row r="118" spans="1:2" x14ac:dyDescent="0.3">
      <c r="A118" s="3" t="s">
        <v>564</v>
      </c>
      <c r="B118">
        <v>4</v>
      </c>
    </row>
    <row r="119" spans="1:2" x14ac:dyDescent="0.3">
      <c r="A119" s="3" t="s">
        <v>456</v>
      </c>
      <c r="B119">
        <v>1</v>
      </c>
    </row>
    <row r="120" spans="1:2" x14ac:dyDescent="0.3">
      <c r="A120" s="3" t="s">
        <v>46</v>
      </c>
      <c r="B120">
        <v>5</v>
      </c>
    </row>
    <row r="121" spans="1:2" x14ac:dyDescent="0.3">
      <c r="A121" s="3" t="s">
        <v>236</v>
      </c>
      <c r="B121">
        <v>1</v>
      </c>
    </row>
    <row r="122" spans="1:2" x14ac:dyDescent="0.3">
      <c r="A122" s="3" t="s">
        <v>250</v>
      </c>
      <c r="B122">
        <v>3</v>
      </c>
    </row>
    <row r="123" spans="1:2" x14ac:dyDescent="0.3">
      <c r="A123" s="3" t="s">
        <v>260</v>
      </c>
      <c r="B123">
        <v>3</v>
      </c>
    </row>
    <row r="124" spans="1:2" x14ac:dyDescent="0.3">
      <c r="A124" s="3" t="s">
        <v>623</v>
      </c>
      <c r="B124">
        <v>9</v>
      </c>
    </row>
    <row r="125" spans="1:2" x14ac:dyDescent="0.3">
      <c r="A125" s="3" t="s">
        <v>270</v>
      </c>
      <c r="B125">
        <v>1</v>
      </c>
    </row>
    <row r="126" spans="1:2" x14ac:dyDescent="0.3">
      <c r="A126" s="3" t="s">
        <v>240</v>
      </c>
      <c r="B126">
        <v>3</v>
      </c>
    </row>
    <row r="127" spans="1:2" x14ac:dyDescent="0.3">
      <c r="A127" s="3" t="s">
        <v>274</v>
      </c>
      <c r="B127">
        <v>1</v>
      </c>
    </row>
    <row r="128" spans="1:2" x14ac:dyDescent="0.3">
      <c r="A128" s="3" t="s">
        <v>278</v>
      </c>
      <c r="B128">
        <v>2</v>
      </c>
    </row>
    <row r="129" spans="1:2" x14ac:dyDescent="0.3">
      <c r="A129" s="3" t="s">
        <v>285</v>
      </c>
      <c r="B129">
        <v>1</v>
      </c>
    </row>
    <row r="130" spans="1:2" x14ac:dyDescent="0.3">
      <c r="A130" s="3" t="s">
        <v>289</v>
      </c>
      <c r="B130">
        <v>1</v>
      </c>
    </row>
    <row r="131" spans="1:2" x14ac:dyDescent="0.3">
      <c r="A131" s="3" t="s">
        <v>293</v>
      </c>
      <c r="B131">
        <v>2</v>
      </c>
    </row>
    <row r="132" spans="1:2" x14ac:dyDescent="0.3">
      <c r="A132" s="3" t="s">
        <v>299</v>
      </c>
      <c r="B132">
        <v>2</v>
      </c>
    </row>
    <row r="133" spans="1:2" x14ac:dyDescent="0.3">
      <c r="A133" s="3" t="s">
        <v>651</v>
      </c>
      <c r="B133">
        <v>175</v>
      </c>
    </row>
    <row r="135" spans="1:2" x14ac:dyDescent="0.3">
      <c r="A135" s="2" t="s">
        <v>650</v>
      </c>
      <c r="B135" t="s">
        <v>652</v>
      </c>
    </row>
    <row r="136" spans="1:2" x14ac:dyDescent="0.3">
      <c r="A136" s="3" t="s">
        <v>398</v>
      </c>
      <c r="B136">
        <v>1</v>
      </c>
    </row>
    <row r="137" spans="1:2" x14ac:dyDescent="0.3">
      <c r="A137" s="3" t="s">
        <v>402</v>
      </c>
      <c r="B137">
        <v>1</v>
      </c>
    </row>
    <row r="138" spans="1:2" x14ac:dyDescent="0.3">
      <c r="A138" s="3" t="s">
        <v>406</v>
      </c>
      <c r="B138">
        <v>1</v>
      </c>
    </row>
    <row r="139" spans="1:2" x14ac:dyDescent="0.3">
      <c r="A139" s="3" t="s">
        <v>492</v>
      </c>
      <c r="B139">
        <v>1</v>
      </c>
    </row>
    <row r="140" spans="1:2" x14ac:dyDescent="0.3">
      <c r="A140" s="3" t="s">
        <v>505</v>
      </c>
      <c r="B140">
        <v>1</v>
      </c>
    </row>
    <row r="141" spans="1:2" x14ac:dyDescent="0.3">
      <c r="A141" s="3" t="s">
        <v>497</v>
      </c>
      <c r="B141">
        <v>1</v>
      </c>
    </row>
    <row r="142" spans="1:2" x14ac:dyDescent="0.3">
      <c r="A142" s="3" t="s">
        <v>528</v>
      </c>
      <c r="B142">
        <v>1</v>
      </c>
    </row>
    <row r="143" spans="1:2" x14ac:dyDescent="0.3">
      <c r="A143" s="3" t="s">
        <v>532</v>
      </c>
      <c r="B143">
        <v>1</v>
      </c>
    </row>
    <row r="144" spans="1:2" x14ac:dyDescent="0.3">
      <c r="A144" s="3" t="s">
        <v>409</v>
      </c>
      <c r="B144">
        <v>1</v>
      </c>
    </row>
    <row r="145" spans="1:2" x14ac:dyDescent="0.3">
      <c r="A145" s="3" t="s">
        <v>394</v>
      </c>
      <c r="B145">
        <v>1</v>
      </c>
    </row>
    <row r="146" spans="1:2" x14ac:dyDescent="0.3">
      <c r="A146" s="3" t="s">
        <v>501</v>
      </c>
      <c r="B146">
        <v>1</v>
      </c>
    </row>
    <row r="147" spans="1:2" x14ac:dyDescent="0.3">
      <c r="A147" s="3" t="s">
        <v>284</v>
      </c>
      <c r="B147">
        <v>1</v>
      </c>
    </row>
    <row r="148" spans="1:2" x14ac:dyDescent="0.3">
      <c r="A148" s="3" t="s">
        <v>28</v>
      </c>
      <c r="B148">
        <v>1</v>
      </c>
    </row>
    <row r="149" spans="1:2" x14ac:dyDescent="0.3">
      <c r="A149" s="3" t="s">
        <v>35</v>
      </c>
      <c r="B149">
        <v>1</v>
      </c>
    </row>
    <row r="150" spans="1:2" x14ac:dyDescent="0.3">
      <c r="A150" s="3" t="s">
        <v>452</v>
      </c>
      <c r="B150">
        <v>1</v>
      </c>
    </row>
    <row r="151" spans="1:2" x14ac:dyDescent="0.3">
      <c r="A151" s="3" t="s">
        <v>412</v>
      </c>
      <c r="B151">
        <v>1</v>
      </c>
    </row>
    <row r="152" spans="1:2" x14ac:dyDescent="0.3">
      <c r="A152" s="3" t="s">
        <v>61</v>
      </c>
      <c r="B152">
        <v>1</v>
      </c>
    </row>
    <row r="153" spans="1:2" x14ac:dyDescent="0.3">
      <c r="A153" s="3" t="s">
        <v>448</v>
      </c>
      <c r="B153">
        <v>1</v>
      </c>
    </row>
    <row r="154" spans="1:2" x14ac:dyDescent="0.3">
      <c r="A154" s="3" t="s">
        <v>41</v>
      </c>
      <c r="B154">
        <v>1</v>
      </c>
    </row>
    <row r="155" spans="1:2" x14ac:dyDescent="0.3">
      <c r="A155" s="3" t="s">
        <v>380</v>
      </c>
      <c r="B155">
        <v>1</v>
      </c>
    </row>
    <row r="156" spans="1:2" x14ac:dyDescent="0.3">
      <c r="A156" s="3" t="s">
        <v>373</v>
      </c>
      <c r="B156">
        <v>1</v>
      </c>
    </row>
    <row r="157" spans="1:2" x14ac:dyDescent="0.3">
      <c r="A157" s="3" t="s">
        <v>133</v>
      </c>
      <c r="B157">
        <v>1</v>
      </c>
    </row>
    <row r="158" spans="1:2" x14ac:dyDescent="0.3">
      <c r="A158" s="3" t="s">
        <v>139</v>
      </c>
      <c r="B158">
        <v>1</v>
      </c>
    </row>
    <row r="159" spans="1:2" x14ac:dyDescent="0.3">
      <c r="A159" s="3" t="s">
        <v>136</v>
      </c>
      <c r="B159">
        <v>1</v>
      </c>
    </row>
    <row r="160" spans="1:2" x14ac:dyDescent="0.3">
      <c r="A160" s="3" t="s">
        <v>256</v>
      </c>
      <c r="B160">
        <v>2</v>
      </c>
    </row>
    <row r="161" spans="1:2" x14ac:dyDescent="0.3">
      <c r="A161" s="3" t="s">
        <v>306</v>
      </c>
      <c r="B161">
        <v>2</v>
      </c>
    </row>
    <row r="162" spans="1:2" x14ac:dyDescent="0.3">
      <c r="A162" s="3" t="s">
        <v>227</v>
      </c>
      <c r="B162">
        <v>1</v>
      </c>
    </row>
    <row r="163" spans="1:2" x14ac:dyDescent="0.3">
      <c r="A163" s="3" t="s">
        <v>273</v>
      </c>
      <c r="B163">
        <v>2</v>
      </c>
    </row>
    <row r="164" spans="1:2" x14ac:dyDescent="0.3">
      <c r="A164" s="3" t="s">
        <v>288</v>
      </c>
      <c r="B164">
        <v>1</v>
      </c>
    </row>
    <row r="165" spans="1:2" x14ac:dyDescent="0.3">
      <c r="A165" s="3" t="s">
        <v>239</v>
      </c>
      <c r="B165">
        <v>1</v>
      </c>
    </row>
    <row r="166" spans="1:2" x14ac:dyDescent="0.3">
      <c r="A166" s="3" t="s">
        <v>243</v>
      </c>
      <c r="B166">
        <v>1</v>
      </c>
    </row>
    <row r="167" spans="1:2" x14ac:dyDescent="0.3">
      <c r="A167" s="3" t="s">
        <v>376</v>
      </c>
      <c r="B167">
        <v>1</v>
      </c>
    </row>
    <row r="168" spans="1:2" x14ac:dyDescent="0.3">
      <c r="A168" s="3" t="s">
        <v>316</v>
      </c>
      <c r="B168">
        <v>1</v>
      </c>
    </row>
    <row r="169" spans="1:2" x14ac:dyDescent="0.3">
      <c r="A169" s="3" t="s">
        <v>93</v>
      </c>
      <c r="B169">
        <v>1</v>
      </c>
    </row>
    <row r="170" spans="1:2" x14ac:dyDescent="0.3">
      <c r="A170" s="3" t="s">
        <v>298</v>
      </c>
      <c r="B170">
        <v>1</v>
      </c>
    </row>
    <row r="171" spans="1:2" x14ac:dyDescent="0.3">
      <c r="A171" s="3" t="s">
        <v>303</v>
      </c>
      <c r="B171">
        <v>1</v>
      </c>
    </row>
    <row r="172" spans="1:2" x14ac:dyDescent="0.3">
      <c r="A172" s="3" t="s">
        <v>636</v>
      </c>
      <c r="B172">
        <v>1</v>
      </c>
    </row>
    <row r="173" spans="1:2" x14ac:dyDescent="0.3">
      <c r="A173" s="3" t="s">
        <v>187</v>
      </c>
      <c r="B173">
        <v>1</v>
      </c>
    </row>
    <row r="174" spans="1:2" x14ac:dyDescent="0.3">
      <c r="A174" s="3" t="s">
        <v>19</v>
      </c>
      <c r="B174">
        <v>1</v>
      </c>
    </row>
    <row r="175" spans="1:2" x14ac:dyDescent="0.3">
      <c r="A175" s="3" t="s">
        <v>544</v>
      </c>
      <c r="B175">
        <v>1</v>
      </c>
    </row>
    <row r="176" spans="1:2" x14ac:dyDescent="0.3">
      <c r="A176" s="3" t="s">
        <v>215</v>
      </c>
      <c r="B176">
        <v>1</v>
      </c>
    </row>
    <row r="177" spans="1:2" x14ac:dyDescent="0.3">
      <c r="A177" s="3" t="s">
        <v>15</v>
      </c>
      <c r="B177">
        <v>1</v>
      </c>
    </row>
    <row r="178" spans="1:2" x14ac:dyDescent="0.3">
      <c r="A178" s="3" t="s">
        <v>330</v>
      </c>
      <c r="B178">
        <v>1</v>
      </c>
    </row>
    <row r="179" spans="1:2" x14ac:dyDescent="0.3">
      <c r="A179" s="3" t="s">
        <v>31</v>
      </c>
      <c r="B179">
        <v>1</v>
      </c>
    </row>
    <row r="180" spans="1:2" x14ac:dyDescent="0.3">
      <c r="A180" s="3" t="s">
        <v>79</v>
      </c>
      <c r="B180">
        <v>1</v>
      </c>
    </row>
    <row r="181" spans="1:2" x14ac:dyDescent="0.3">
      <c r="A181" s="3" t="s">
        <v>512</v>
      </c>
      <c r="B181">
        <v>1</v>
      </c>
    </row>
    <row r="182" spans="1:2" x14ac:dyDescent="0.3">
      <c r="A182" s="3" t="s">
        <v>415</v>
      </c>
      <c r="B182">
        <v>1</v>
      </c>
    </row>
    <row r="183" spans="1:2" x14ac:dyDescent="0.3">
      <c r="A183" s="3" t="s">
        <v>428</v>
      </c>
      <c r="B183">
        <v>1</v>
      </c>
    </row>
    <row r="184" spans="1:2" x14ac:dyDescent="0.3">
      <c r="A184" s="3" t="s">
        <v>518</v>
      </c>
      <c r="B184">
        <v>1</v>
      </c>
    </row>
    <row r="185" spans="1:2" x14ac:dyDescent="0.3">
      <c r="A185" s="3" t="s">
        <v>424</v>
      </c>
      <c r="B185">
        <v>1</v>
      </c>
    </row>
    <row r="186" spans="1:2" x14ac:dyDescent="0.3">
      <c r="A186" s="3" t="s">
        <v>419</v>
      </c>
      <c r="B186">
        <v>1</v>
      </c>
    </row>
    <row r="187" spans="1:2" x14ac:dyDescent="0.3">
      <c r="A187" s="3" t="s">
        <v>508</v>
      </c>
      <c r="B187">
        <v>1</v>
      </c>
    </row>
    <row r="188" spans="1:2" x14ac:dyDescent="0.3">
      <c r="A188" s="3" t="s">
        <v>421</v>
      </c>
      <c r="B188">
        <v>1</v>
      </c>
    </row>
    <row r="189" spans="1:2" x14ac:dyDescent="0.3">
      <c r="A189" s="3" t="s">
        <v>522</v>
      </c>
      <c r="B189">
        <v>1</v>
      </c>
    </row>
    <row r="190" spans="1:2" x14ac:dyDescent="0.3">
      <c r="A190" s="3" t="s">
        <v>515</v>
      </c>
      <c r="B190">
        <v>1</v>
      </c>
    </row>
    <row r="191" spans="1:2" x14ac:dyDescent="0.3">
      <c r="A191" s="3" t="s">
        <v>432</v>
      </c>
      <c r="B191">
        <v>1</v>
      </c>
    </row>
    <row r="192" spans="1:2" x14ac:dyDescent="0.3">
      <c r="A192" s="3" t="s">
        <v>435</v>
      </c>
      <c r="B192">
        <v>1</v>
      </c>
    </row>
    <row r="193" spans="1:2" x14ac:dyDescent="0.3">
      <c r="A193" s="3" t="s">
        <v>525</v>
      </c>
      <c r="B193">
        <v>1</v>
      </c>
    </row>
    <row r="194" spans="1:2" x14ac:dyDescent="0.3">
      <c r="A194" s="3" t="s">
        <v>445</v>
      </c>
      <c r="B194">
        <v>1</v>
      </c>
    </row>
    <row r="195" spans="1:2" x14ac:dyDescent="0.3">
      <c r="A195" s="3" t="s">
        <v>125</v>
      </c>
      <c r="B195">
        <v>1</v>
      </c>
    </row>
    <row r="196" spans="1:2" x14ac:dyDescent="0.3">
      <c r="A196" s="3" t="s">
        <v>442</v>
      </c>
      <c r="B196">
        <v>1</v>
      </c>
    </row>
    <row r="197" spans="1:2" x14ac:dyDescent="0.3">
      <c r="A197" s="3" t="s">
        <v>473</v>
      </c>
      <c r="B197">
        <v>1</v>
      </c>
    </row>
    <row r="198" spans="1:2" x14ac:dyDescent="0.3">
      <c r="A198" s="3" t="s">
        <v>438</v>
      </c>
      <c r="B198">
        <v>1</v>
      </c>
    </row>
    <row r="199" spans="1:2" x14ac:dyDescent="0.3">
      <c r="A199" s="3" t="s">
        <v>103</v>
      </c>
      <c r="B199">
        <v>1</v>
      </c>
    </row>
    <row r="200" spans="1:2" x14ac:dyDescent="0.3">
      <c r="A200" s="3" t="s">
        <v>391</v>
      </c>
      <c r="B200">
        <v>1</v>
      </c>
    </row>
    <row r="201" spans="1:2" x14ac:dyDescent="0.3">
      <c r="A201" s="3" t="s">
        <v>45</v>
      </c>
      <c r="B201">
        <v>1</v>
      </c>
    </row>
    <row r="202" spans="1:2" x14ac:dyDescent="0.3">
      <c r="A202" s="3" t="s">
        <v>98</v>
      </c>
      <c r="B202">
        <v>1</v>
      </c>
    </row>
    <row r="203" spans="1:2" x14ac:dyDescent="0.3">
      <c r="A203" s="3" t="s">
        <v>608</v>
      </c>
      <c r="B203">
        <v>1</v>
      </c>
    </row>
    <row r="204" spans="1:2" x14ac:dyDescent="0.3">
      <c r="A204" s="3" t="s">
        <v>615</v>
      </c>
      <c r="B204">
        <v>1</v>
      </c>
    </row>
    <row r="205" spans="1:2" x14ac:dyDescent="0.3">
      <c r="A205" s="3" t="s">
        <v>612</v>
      </c>
      <c r="B205">
        <v>1</v>
      </c>
    </row>
    <row r="206" spans="1:2" x14ac:dyDescent="0.3">
      <c r="A206" s="3" t="s">
        <v>618</v>
      </c>
      <c r="B206">
        <v>1</v>
      </c>
    </row>
    <row r="207" spans="1:2" x14ac:dyDescent="0.3">
      <c r="A207" s="3" t="s">
        <v>253</v>
      </c>
      <c r="B207">
        <v>1</v>
      </c>
    </row>
    <row r="208" spans="1:2" x14ac:dyDescent="0.3">
      <c r="A208" s="3" t="s">
        <v>235</v>
      </c>
      <c r="B208">
        <v>1</v>
      </c>
    </row>
    <row r="209" spans="1:2" x14ac:dyDescent="0.3">
      <c r="A209" s="3" t="s">
        <v>246</v>
      </c>
      <c r="B209">
        <v>1</v>
      </c>
    </row>
    <row r="210" spans="1:2" x14ac:dyDescent="0.3">
      <c r="A210" s="3" t="s">
        <v>164</v>
      </c>
      <c r="B210">
        <v>1</v>
      </c>
    </row>
    <row r="211" spans="1:2" x14ac:dyDescent="0.3">
      <c r="A211" s="3" t="s">
        <v>23</v>
      </c>
      <c r="B211">
        <v>1</v>
      </c>
    </row>
    <row r="212" spans="1:2" x14ac:dyDescent="0.3">
      <c r="A212" s="3" t="s">
        <v>83</v>
      </c>
      <c r="B212">
        <v>1</v>
      </c>
    </row>
    <row r="213" spans="1:2" x14ac:dyDescent="0.3">
      <c r="A213" s="3" t="s">
        <v>600</v>
      </c>
      <c r="B213">
        <v>1</v>
      </c>
    </row>
    <row r="214" spans="1:2" x14ac:dyDescent="0.3">
      <c r="A214" s="3" t="s">
        <v>178</v>
      </c>
      <c r="B214">
        <v>1</v>
      </c>
    </row>
    <row r="215" spans="1:2" x14ac:dyDescent="0.3">
      <c r="A215" s="3" t="s">
        <v>117</v>
      </c>
      <c r="B215">
        <v>1</v>
      </c>
    </row>
    <row r="216" spans="1:2" x14ac:dyDescent="0.3">
      <c r="A216" s="3" t="s">
        <v>157</v>
      </c>
      <c r="B216">
        <v>1</v>
      </c>
    </row>
    <row r="217" spans="1:2" x14ac:dyDescent="0.3">
      <c r="A217" s="3" t="s">
        <v>129</v>
      </c>
      <c r="B217">
        <v>1</v>
      </c>
    </row>
    <row r="218" spans="1:2" x14ac:dyDescent="0.3">
      <c r="A218" s="3" t="s">
        <v>64</v>
      </c>
      <c r="B218">
        <v>1</v>
      </c>
    </row>
    <row r="219" spans="1:2" x14ac:dyDescent="0.3">
      <c r="A219" s="3" t="s">
        <v>69</v>
      </c>
      <c r="B219">
        <v>1</v>
      </c>
    </row>
    <row r="220" spans="1:2" x14ac:dyDescent="0.3">
      <c r="A220" s="3" t="s">
        <v>153</v>
      </c>
      <c r="B220">
        <v>1</v>
      </c>
    </row>
    <row r="221" spans="1:2" x14ac:dyDescent="0.3">
      <c r="A221" s="3" t="s">
        <v>161</v>
      </c>
      <c r="B221">
        <v>1</v>
      </c>
    </row>
    <row r="222" spans="1:2" x14ac:dyDescent="0.3">
      <c r="A222" s="3" t="s">
        <v>149</v>
      </c>
      <c r="B222">
        <v>1</v>
      </c>
    </row>
    <row r="223" spans="1:2" x14ac:dyDescent="0.3">
      <c r="A223" s="3" t="s">
        <v>167</v>
      </c>
      <c r="B223">
        <v>1</v>
      </c>
    </row>
    <row r="224" spans="1:2" x14ac:dyDescent="0.3">
      <c r="A224" s="3" t="s">
        <v>327</v>
      </c>
      <c r="B224">
        <v>1</v>
      </c>
    </row>
    <row r="225" spans="1:2" x14ac:dyDescent="0.3">
      <c r="A225" s="3" t="s">
        <v>362</v>
      </c>
      <c r="B225">
        <v>1</v>
      </c>
    </row>
    <row r="226" spans="1:2" x14ac:dyDescent="0.3">
      <c r="A226" s="3" t="s">
        <v>223</v>
      </c>
      <c r="B226">
        <v>1</v>
      </c>
    </row>
    <row r="227" spans="1:2" x14ac:dyDescent="0.3">
      <c r="A227" s="3" t="s">
        <v>335</v>
      </c>
      <c r="B227">
        <v>1</v>
      </c>
    </row>
    <row r="228" spans="1:2" x14ac:dyDescent="0.3">
      <c r="A228" s="3" t="s">
        <v>263</v>
      </c>
      <c r="B228">
        <v>1</v>
      </c>
    </row>
    <row r="229" spans="1:2" x14ac:dyDescent="0.3">
      <c r="A229" s="3" t="s">
        <v>175</v>
      </c>
      <c r="B229">
        <v>1</v>
      </c>
    </row>
    <row r="230" spans="1:2" x14ac:dyDescent="0.3">
      <c r="A230" s="3" t="s">
        <v>58</v>
      </c>
      <c r="B230">
        <v>1</v>
      </c>
    </row>
    <row r="231" spans="1:2" x14ac:dyDescent="0.3">
      <c r="A231" s="3" t="s">
        <v>50</v>
      </c>
      <c r="B231">
        <v>1</v>
      </c>
    </row>
    <row r="232" spans="1:2" x14ac:dyDescent="0.3">
      <c r="A232" s="3" t="s">
        <v>323</v>
      </c>
      <c r="B232">
        <v>1</v>
      </c>
    </row>
    <row r="233" spans="1:2" x14ac:dyDescent="0.3">
      <c r="A233" s="3" t="s">
        <v>204</v>
      </c>
      <c r="B233">
        <v>1</v>
      </c>
    </row>
    <row r="234" spans="1:2" x14ac:dyDescent="0.3">
      <c r="A234" s="3" t="s">
        <v>195</v>
      </c>
      <c r="B234">
        <v>1</v>
      </c>
    </row>
    <row r="235" spans="1:2" x14ac:dyDescent="0.3">
      <c r="A235" s="3" t="s">
        <v>86</v>
      </c>
      <c r="B235">
        <v>1</v>
      </c>
    </row>
    <row r="236" spans="1:2" x14ac:dyDescent="0.3">
      <c r="A236" s="3" t="s">
        <v>344</v>
      </c>
      <c r="B236">
        <v>1</v>
      </c>
    </row>
    <row r="237" spans="1:2" x14ac:dyDescent="0.3">
      <c r="A237" s="3" t="s">
        <v>339</v>
      </c>
      <c r="B237">
        <v>2</v>
      </c>
    </row>
    <row r="238" spans="1:2" x14ac:dyDescent="0.3">
      <c r="A238" s="3" t="s">
        <v>142</v>
      </c>
      <c r="B238">
        <v>1</v>
      </c>
    </row>
    <row r="239" spans="1:2" x14ac:dyDescent="0.3">
      <c r="A239" s="3" t="s">
        <v>266</v>
      </c>
      <c r="B239">
        <v>1</v>
      </c>
    </row>
    <row r="240" spans="1:2" x14ac:dyDescent="0.3">
      <c r="A240" s="3" t="s">
        <v>106</v>
      </c>
      <c r="B240">
        <v>1</v>
      </c>
    </row>
    <row r="241" spans="1:2" x14ac:dyDescent="0.3">
      <c r="A241" s="3" t="s">
        <v>171</v>
      </c>
      <c r="B241">
        <v>1</v>
      </c>
    </row>
    <row r="242" spans="1:2" x14ac:dyDescent="0.3">
      <c r="A242" s="3" t="s">
        <v>76</v>
      </c>
      <c r="B242">
        <v>1</v>
      </c>
    </row>
    <row r="243" spans="1:2" x14ac:dyDescent="0.3">
      <c r="A243" s="3" t="s">
        <v>181</v>
      </c>
      <c r="B243">
        <v>1</v>
      </c>
    </row>
    <row r="244" spans="1:2" x14ac:dyDescent="0.3">
      <c r="A244" s="3" t="s">
        <v>73</v>
      </c>
      <c r="B244">
        <v>1</v>
      </c>
    </row>
    <row r="245" spans="1:2" x14ac:dyDescent="0.3">
      <c r="A245" s="3" t="s">
        <v>212</v>
      </c>
      <c r="B245">
        <v>1</v>
      </c>
    </row>
    <row r="246" spans="1:2" x14ac:dyDescent="0.3">
      <c r="A246" s="3" t="s">
        <v>292</v>
      </c>
      <c r="B246">
        <v>1</v>
      </c>
    </row>
    <row r="247" spans="1:2" x14ac:dyDescent="0.3">
      <c r="A247" s="3" t="s">
        <v>277</v>
      </c>
      <c r="B247">
        <v>1</v>
      </c>
    </row>
    <row r="248" spans="1:2" x14ac:dyDescent="0.3">
      <c r="A248" s="3" t="s">
        <v>535</v>
      </c>
      <c r="B248">
        <v>1</v>
      </c>
    </row>
    <row r="249" spans="1:2" x14ac:dyDescent="0.3">
      <c r="A249" s="3" t="s">
        <v>540</v>
      </c>
      <c r="B249">
        <v>1</v>
      </c>
    </row>
    <row r="250" spans="1:2" x14ac:dyDescent="0.3">
      <c r="A250" s="3" t="s">
        <v>359</v>
      </c>
      <c r="B250">
        <v>1</v>
      </c>
    </row>
    <row r="251" spans="1:2" x14ac:dyDescent="0.3">
      <c r="A251" s="3" t="s">
        <v>356</v>
      </c>
      <c r="B251">
        <v>1</v>
      </c>
    </row>
    <row r="252" spans="1:2" x14ac:dyDescent="0.3">
      <c r="A252" s="3" t="s">
        <v>351</v>
      </c>
      <c r="B252">
        <v>1</v>
      </c>
    </row>
    <row r="253" spans="1:2" x14ac:dyDescent="0.3">
      <c r="A253" s="3" t="s">
        <v>219</v>
      </c>
      <c r="B253">
        <v>1</v>
      </c>
    </row>
    <row r="254" spans="1:2" x14ac:dyDescent="0.3">
      <c r="A254" s="3" t="s">
        <v>249</v>
      </c>
      <c r="B254">
        <v>1</v>
      </c>
    </row>
    <row r="255" spans="1:2" x14ac:dyDescent="0.3">
      <c r="A255" s="3" t="s">
        <v>369</v>
      </c>
      <c r="B255">
        <v>1</v>
      </c>
    </row>
    <row r="256" spans="1:2" x14ac:dyDescent="0.3">
      <c r="A256" s="3" t="s">
        <v>310</v>
      </c>
      <c r="B256">
        <v>1</v>
      </c>
    </row>
    <row r="257" spans="1:2" x14ac:dyDescent="0.3">
      <c r="A257" s="3" t="s">
        <v>38</v>
      </c>
      <c r="B257">
        <v>1</v>
      </c>
    </row>
    <row r="258" spans="1:2" x14ac:dyDescent="0.3">
      <c r="A258" s="3" t="s">
        <v>114</v>
      </c>
      <c r="B258">
        <v>1</v>
      </c>
    </row>
    <row r="259" spans="1:2" x14ac:dyDescent="0.3">
      <c r="A259" s="3" t="s">
        <v>121</v>
      </c>
      <c r="B259">
        <v>1</v>
      </c>
    </row>
    <row r="260" spans="1:2" x14ac:dyDescent="0.3">
      <c r="A260" s="3" t="s">
        <v>54</v>
      </c>
      <c r="B260">
        <v>1</v>
      </c>
    </row>
    <row r="261" spans="1:2" x14ac:dyDescent="0.3">
      <c r="A261" s="3" t="s">
        <v>231</v>
      </c>
      <c r="B261">
        <v>1</v>
      </c>
    </row>
    <row r="262" spans="1:2" x14ac:dyDescent="0.3">
      <c r="A262" s="3" t="s">
        <v>9</v>
      </c>
      <c r="B262">
        <v>1</v>
      </c>
    </row>
    <row r="263" spans="1:2" x14ac:dyDescent="0.3">
      <c r="A263" s="3" t="s">
        <v>578</v>
      </c>
      <c r="B263">
        <v>1</v>
      </c>
    </row>
    <row r="264" spans="1:2" x14ac:dyDescent="0.3">
      <c r="A264" s="3" t="s">
        <v>589</v>
      </c>
      <c r="B264">
        <v>1</v>
      </c>
    </row>
    <row r="265" spans="1:2" x14ac:dyDescent="0.3">
      <c r="A265" s="3" t="s">
        <v>582</v>
      </c>
      <c r="B265">
        <v>1</v>
      </c>
    </row>
    <row r="266" spans="1:2" x14ac:dyDescent="0.3">
      <c r="A266" s="3" t="s">
        <v>592</v>
      </c>
      <c r="B266">
        <v>1</v>
      </c>
    </row>
    <row r="267" spans="1:2" x14ac:dyDescent="0.3">
      <c r="A267" s="3" t="s">
        <v>586</v>
      </c>
      <c r="B267">
        <v>1</v>
      </c>
    </row>
    <row r="268" spans="1:2" x14ac:dyDescent="0.3">
      <c r="A268" s="3" t="s">
        <v>259</v>
      </c>
      <c r="B268">
        <v>1</v>
      </c>
    </row>
    <row r="269" spans="1:2" x14ac:dyDescent="0.3">
      <c r="A269" s="3" t="s">
        <v>455</v>
      </c>
      <c r="B269">
        <v>1</v>
      </c>
    </row>
    <row r="270" spans="1:2" x14ac:dyDescent="0.3">
      <c r="A270" s="3" t="s">
        <v>485</v>
      </c>
      <c r="B270">
        <v>1</v>
      </c>
    </row>
    <row r="271" spans="1:2" x14ac:dyDescent="0.3">
      <c r="A271" s="3" t="s">
        <v>110</v>
      </c>
      <c r="B271">
        <v>1</v>
      </c>
    </row>
    <row r="272" spans="1:2" x14ac:dyDescent="0.3">
      <c r="A272" s="3" t="s">
        <v>184</v>
      </c>
      <c r="B272">
        <v>1</v>
      </c>
    </row>
    <row r="273" spans="1:2" x14ac:dyDescent="0.3">
      <c r="A273" s="3" t="s">
        <v>489</v>
      </c>
      <c r="B273">
        <v>1</v>
      </c>
    </row>
    <row r="274" spans="1:2" x14ac:dyDescent="0.3">
      <c r="A274" s="3" t="s">
        <v>595</v>
      </c>
      <c r="B274">
        <v>1</v>
      </c>
    </row>
    <row r="275" spans="1:2" x14ac:dyDescent="0.3">
      <c r="A275" s="3" t="s">
        <v>604</v>
      </c>
      <c r="B275">
        <v>1</v>
      </c>
    </row>
    <row r="276" spans="1:2" x14ac:dyDescent="0.3">
      <c r="A276" s="3" t="s">
        <v>191</v>
      </c>
      <c r="B276">
        <v>1</v>
      </c>
    </row>
    <row r="277" spans="1:2" x14ac:dyDescent="0.3">
      <c r="A277" s="3" t="s">
        <v>463</v>
      </c>
      <c r="B277">
        <v>1</v>
      </c>
    </row>
    <row r="278" spans="1:2" x14ac:dyDescent="0.3">
      <c r="A278" s="3" t="s">
        <v>466</v>
      </c>
      <c r="B278">
        <v>1</v>
      </c>
    </row>
    <row r="279" spans="1:2" x14ac:dyDescent="0.3">
      <c r="A279" s="3" t="s">
        <v>459</v>
      </c>
      <c r="B279">
        <v>1</v>
      </c>
    </row>
    <row r="280" spans="1:2" x14ac:dyDescent="0.3">
      <c r="A280" s="3" t="s">
        <v>146</v>
      </c>
      <c r="B280">
        <v>1</v>
      </c>
    </row>
    <row r="281" spans="1:2" x14ac:dyDescent="0.3">
      <c r="A281" s="3" t="s">
        <v>281</v>
      </c>
      <c r="B281">
        <v>1</v>
      </c>
    </row>
    <row r="282" spans="1:2" x14ac:dyDescent="0.3">
      <c r="A282" s="3" t="s">
        <v>626</v>
      </c>
      <c r="B282">
        <v>1</v>
      </c>
    </row>
    <row r="283" spans="1:2" x14ac:dyDescent="0.3">
      <c r="A283" s="3" t="s">
        <v>629</v>
      </c>
      <c r="B283">
        <v>1</v>
      </c>
    </row>
    <row r="284" spans="1:2" x14ac:dyDescent="0.3">
      <c r="A284" s="3" t="s">
        <v>622</v>
      </c>
      <c r="B284">
        <v>1</v>
      </c>
    </row>
    <row r="285" spans="1:2" x14ac:dyDescent="0.3">
      <c r="A285" s="3" t="s">
        <v>649</v>
      </c>
      <c r="B285">
        <v>1</v>
      </c>
    </row>
    <row r="286" spans="1:2" x14ac:dyDescent="0.3">
      <c r="A286" s="3" t="s">
        <v>646</v>
      </c>
      <c r="B286">
        <v>1</v>
      </c>
    </row>
    <row r="287" spans="1:2" x14ac:dyDescent="0.3">
      <c r="A287" s="3" t="s">
        <v>633</v>
      </c>
      <c r="B287">
        <v>1</v>
      </c>
    </row>
    <row r="288" spans="1:2" x14ac:dyDescent="0.3">
      <c r="A288" s="3" t="s">
        <v>639</v>
      </c>
      <c r="B288">
        <v>1</v>
      </c>
    </row>
    <row r="289" spans="1:2" x14ac:dyDescent="0.3">
      <c r="A289" s="3" t="s">
        <v>574</v>
      </c>
      <c r="B289">
        <v>1</v>
      </c>
    </row>
    <row r="290" spans="1:2" x14ac:dyDescent="0.3">
      <c r="A290" s="3" t="s">
        <v>563</v>
      </c>
      <c r="B290">
        <v>1</v>
      </c>
    </row>
    <row r="291" spans="1:2" x14ac:dyDescent="0.3">
      <c r="A291" s="3" t="s">
        <v>568</v>
      </c>
      <c r="B291">
        <v>1</v>
      </c>
    </row>
    <row r="292" spans="1:2" x14ac:dyDescent="0.3">
      <c r="A292" s="3" t="s">
        <v>571</v>
      </c>
      <c r="B292">
        <v>1</v>
      </c>
    </row>
    <row r="293" spans="1:2" x14ac:dyDescent="0.3">
      <c r="A293" s="3" t="s">
        <v>643</v>
      </c>
      <c r="B293">
        <v>1</v>
      </c>
    </row>
    <row r="294" spans="1:2" x14ac:dyDescent="0.3">
      <c r="A294" s="3" t="s">
        <v>365</v>
      </c>
      <c r="B294">
        <v>1</v>
      </c>
    </row>
    <row r="295" spans="1:2" x14ac:dyDescent="0.3">
      <c r="A295" s="3" t="s">
        <v>208</v>
      </c>
      <c r="B295">
        <v>1</v>
      </c>
    </row>
    <row r="296" spans="1:2" x14ac:dyDescent="0.3">
      <c r="A296" s="3" t="s">
        <v>200</v>
      </c>
      <c r="B296">
        <v>1</v>
      </c>
    </row>
    <row r="297" spans="1:2" x14ac:dyDescent="0.3">
      <c r="A297" s="3" t="s">
        <v>269</v>
      </c>
      <c r="B297">
        <v>1</v>
      </c>
    </row>
    <row r="298" spans="1:2" x14ac:dyDescent="0.3">
      <c r="A298" s="3" t="s">
        <v>386</v>
      </c>
      <c r="B298">
        <v>1</v>
      </c>
    </row>
    <row r="299" spans="1:2" x14ac:dyDescent="0.3">
      <c r="A299" s="3" t="s">
        <v>469</v>
      </c>
      <c r="B299">
        <v>1</v>
      </c>
    </row>
    <row r="300" spans="1:2" x14ac:dyDescent="0.3">
      <c r="A300" s="3" t="s">
        <v>481</v>
      </c>
      <c r="B300">
        <v>1</v>
      </c>
    </row>
    <row r="301" spans="1:2" x14ac:dyDescent="0.3">
      <c r="A301" s="3" t="s">
        <v>555</v>
      </c>
      <c r="B301">
        <v>1</v>
      </c>
    </row>
    <row r="302" spans="1:2" x14ac:dyDescent="0.3">
      <c r="A302" s="3" t="s">
        <v>559</v>
      </c>
      <c r="B302">
        <v>1</v>
      </c>
    </row>
    <row r="303" spans="1:2" x14ac:dyDescent="0.3">
      <c r="A303" s="3" t="s">
        <v>90</v>
      </c>
      <c r="B303">
        <v>1</v>
      </c>
    </row>
    <row r="304" spans="1:2" x14ac:dyDescent="0.3">
      <c r="A304" s="3" t="s">
        <v>552</v>
      </c>
      <c r="B304">
        <v>1</v>
      </c>
    </row>
    <row r="305" spans="1:2" x14ac:dyDescent="0.3">
      <c r="A305" s="3" t="s">
        <v>477</v>
      </c>
      <c r="B305">
        <v>1</v>
      </c>
    </row>
    <row r="306" spans="1:2" x14ac:dyDescent="0.3">
      <c r="A306" s="3" t="s">
        <v>548</v>
      </c>
      <c r="B306">
        <v>1</v>
      </c>
    </row>
    <row r="307" spans="1:2" x14ac:dyDescent="0.3">
      <c r="A307" s="3" t="s">
        <v>651</v>
      </c>
      <c r="B307">
        <v>175</v>
      </c>
    </row>
    <row r="309" spans="1:2" x14ac:dyDescent="0.3">
      <c r="A309" s="2" t="s">
        <v>650</v>
      </c>
      <c r="B309" t="s">
        <v>652</v>
      </c>
    </row>
    <row r="310" spans="1:2" x14ac:dyDescent="0.3">
      <c r="A310" s="3" t="s">
        <v>793</v>
      </c>
      <c r="B310">
        <v>1</v>
      </c>
    </row>
    <row r="311" spans="1:2" x14ac:dyDescent="0.3">
      <c r="A311" s="3" t="s">
        <v>651</v>
      </c>
      <c r="B311">
        <v>1</v>
      </c>
    </row>
    <row r="314" spans="1:2" x14ac:dyDescent="0.3">
      <c r="A314" s="2" t="s">
        <v>650</v>
      </c>
      <c r="B314" t="s">
        <v>652</v>
      </c>
    </row>
    <row r="315" spans="1:2" x14ac:dyDescent="0.3">
      <c r="A315" s="3" t="s">
        <v>794</v>
      </c>
      <c r="B315">
        <v>175</v>
      </c>
    </row>
    <row r="316" spans="1:2" x14ac:dyDescent="0.3">
      <c r="A316" s="3" t="s">
        <v>651</v>
      </c>
      <c r="B316">
        <v>175</v>
      </c>
    </row>
    <row r="318" spans="1:2" x14ac:dyDescent="0.3">
      <c r="A318" s="2" t="s">
        <v>650</v>
      </c>
      <c r="B318" t="s">
        <v>797</v>
      </c>
    </row>
    <row r="319" spans="1:2" x14ac:dyDescent="0.3">
      <c r="A319" s="3" t="s">
        <v>197</v>
      </c>
      <c r="B319">
        <v>50</v>
      </c>
    </row>
    <row r="320" spans="1:2" x14ac:dyDescent="0.3">
      <c r="A320" s="3" t="s">
        <v>565</v>
      </c>
      <c r="B320">
        <v>25</v>
      </c>
    </row>
    <row r="321" spans="1:3" x14ac:dyDescent="0.3">
      <c r="A321" s="3" t="s">
        <v>382</v>
      </c>
      <c r="B321">
        <v>50</v>
      </c>
    </row>
    <row r="322" spans="1:3" x14ac:dyDescent="0.3">
      <c r="A322" s="3" t="s">
        <v>11</v>
      </c>
      <c r="B322">
        <v>50</v>
      </c>
    </row>
    <row r="323" spans="1:3" x14ac:dyDescent="0.3">
      <c r="A323" s="3" t="s">
        <v>651</v>
      </c>
      <c r="B323">
        <v>175</v>
      </c>
    </row>
    <row r="326" spans="1:3" x14ac:dyDescent="0.3">
      <c r="A326" s="2" t="s">
        <v>650</v>
      </c>
      <c r="B326" t="s">
        <v>652</v>
      </c>
      <c r="C326" t="s">
        <v>798</v>
      </c>
    </row>
    <row r="327" spans="1:3" x14ac:dyDescent="0.3">
      <c r="A327" s="3" t="s">
        <v>197</v>
      </c>
      <c r="B327">
        <v>50</v>
      </c>
      <c r="C327">
        <v>50</v>
      </c>
    </row>
    <row r="328" spans="1:3" x14ac:dyDescent="0.3">
      <c r="A328" s="3" t="s">
        <v>565</v>
      </c>
      <c r="B328">
        <v>25</v>
      </c>
      <c r="C328">
        <v>25</v>
      </c>
    </row>
    <row r="329" spans="1:3" x14ac:dyDescent="0.3">
      <c r="A329" s="3" t="s">
        <v>382</v>
      </c>
      <c r="B329">
        <v>50</v>
      </c>
      <c r="C329">
        <v>50</v>
      </c>
    </row>
    <row r="330" spans="1:3" x14ac:dyDescent="0.3">
      <c r="A330" s="3" t="s">
        <v>11</v>
      </c>
      <c r="B330">
        <v>50</v>
      </c>
      <c r="C330">
        <v>50</v>
      </c>
    </row>
    <row r="331" spans="1:3" x14ac:dyDescent="0.3">
      <c r="A331" s="3" t="s">
        <v>651</v>
      </c>
      <c r="B331">
        <v>175</v>
      </c>
      <c r="C331">
        <v>175</v>
      </c>
    </row>
    <row r="333" spans="1:3" x14ac:dyDescent="0.3">
      <c r="A333" s="2" t="s">
        <v>650</v>
      </c>
      <c r="B333" t="s">
        <v>798</v>
      </c>
      <c r="C333" t="s">
        <v>799</v>
      </c>
    </row>
    <row r="334" spans="1:3" x14ac:dyDescent="0.3">
      <c r="A334" s="3" t="s">
        <v>68</v>
      </c>
      <c r="B334">
        <v>2</v>
      </c>
      <c r="C334">
        <v>1</v>
      </c>
    </row>
    <row r="335" spans="1:3" x14ac:dyDescent="0.3">
      <c r="A335" s="3" t="s">
        <v>105</v>
      </c>
      <c r="B335">
        <v>1</v>
      </c>
      <c r="C335">
        <v>2</v>
      </c>
    </row>
    <row r="336" spans="1:3" x14ac:dyDescent="0.3">
      <c r="A336" s="3" t="s">
        <v>22</v>
      </c>
      <c r="B336">
        <v>1</v>
      </c>
      <c r="C336">
        <v>3</v>
      </c>
    </row>
    <row r="337" spans="1:3" x14ac:dyDescent="0.3">
      <c r="A337" s="3" t="s">
        <v>230</v>
      </c>
      <c r="B337">
        <v>1</v>
      </c>
      <c r="C337">
        <v>4</v>
      </c>
    </row>
    <row r="338" spans="1:3" x14ac:dyDescent="0.3">
      <c r="A338" s="3" t="s">
        <v>585</v>
      </c>
      <c r="B338">
        <v>1</v>
      </c>
      <c r="C338">
        <v>5</v>
      </c>
    </row>
    <row r="339" spans="1:3" x14ac:dyDescent="0.3">
      <c r="A339" s="3" t="s">
        <v>295</v>
      </c>
      <c r="B339">
        <v>1</v>
      </c>
      <c r="C339">
        <v>6</v>
      </c>
    </row>
    <row r="340" spans="1:3" x14ac:dyDescent="0.3">
      <c r="A340" s="3" t="s">
        <v>262</v>
      </c>
      <c r="B340">
        <v>1</v>
      </c>
      <c r="C340">
        <v>7</v>
      </c>
    </row>
    <row r="341" spans="1:3" x14ac:dyDescent="0.3">
      <c r="A341" s="3" t="s">
        <v>472</v>
      </c>
      <c r="B341">
        <v>1</v>
      </c>
      <c r="C341">
        <v>8</v>
      </c>
    </row>
    <row r="342" spans="1:3" x14ac:dyDescent="0.3">
      <c r="A342" s="3" t="s">
        <v>242</v>
      </c>
      <c r="B342">
        <v>1</v>
      </c>
      <c r="C342">
        <v>9</v>
      </c>
    </row>
    <row r="343" spans="1:3" x14ac:dyDescent="0.3">
      <c r="A343" s="3" t="s">
        <v>607</v>
      </c>
      <c r="B343">
        <v>1</v>
      </c>
      <c r="C343">
        <v>10</v>
      </c>
    </row>
    <row r="344" spans="1:3" x14ac:dyDescent="0.3">
      <c r="A344" s="3" t="s">
        <v>651</v>
      </c>
      <c r="B344">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Sheet17</vt:lpstr>
      <vt:lpstr>Sheet1</vt:lpstr>
      <vt:lpstr>Sheet14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Manoj Kumar</dc:creator>
  <cp:keywords/>
  <dc:description/>
  <cp:lastModifiedBy>Sai Manideep Kumar P</cp:lastModifiedBy>
  <cp:revision/>
  <dcterms:created xsi:type="dcterms:W3CDTF">2026-03-25T07:10:31Z</dcterms:created>
  <dcterms:modified xsi:type="dcterms:W3CDTF">2026-03-26T05:15:28Z</dcterms:modified>
  <cp:category/>
  <cp:contentStatus/>
</cp:coreProperties>
</file>